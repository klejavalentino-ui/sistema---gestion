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ic\Desktop\Mazo MES\"/>
    </mc:Choice>
  </mc:AlternateContent>
  <bookViews>
    <workbookView xWindow="0" yWindow="0" windowWidth="12315" windowHeight="7080" activeTab="2"/>
  </bookViews>
  <sheets>
    <sheet name="VENTAS MAYORISTAS " sheetId="3" r:id="rId1"/>
    <sheet name="GASTOS" sheetId="2" r:id="rId2"/>
    <sheet name="TOTALE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3" l="1"/>
  <c r="I77" i="2" l="1"/>
  <c r="G4" i="4" s="1"/>
  <c r="E76" i="2" l="1"/>
  <c r="T52" i="3" l="1"/>
  <c r="D52" i="3" l="1"/>
  <c r="S52" i="3" l="1"/>
  <c r="N11" i="4" l="1"/>
  <c r="D76" i="2" l="1"/>
  <c r="O52" i="3"/>
  <c r="N52" i="3"/>
  <c r="J52" i="3"/>
  <c r="I52" i="3"/>
  <c r="C4" i="4" l="1"/>
  <c r="D4" i="4"/>
  <c r="A9" i="4" s="1"/>
  <c r="D9" i="4" s="1"/>
</calcChain>
</file>

<file path=xl/sharedStrings.xml><?xml version="1.0" encoding="utf-8"?>
<sst xmlns="http://schemas.openxmlformats.org/spreadsheetml/2006/main" count="206" uniqueCount="102">
  <si>
    <t>GASTOS</t>
  </si>
  <si>
    <t>TIPO</t>
  </si>
  <si>
    <t>TOTAL</t>
  </si>
  <si>
    <t>DESTINO</t>
  </si>
  <si>
    <t>CANTIDAD</t>
  </si>
  <si>
    <t>MONTO</t>
  </si>
  <si>
    <t>TOTALES</t>
  </si>
  <si>
    <t>PERSONALIZADO</t>
  </si>
  <si>
    <t>VENTAS MAYORISTAS</t>
  </si>
  <si>
    <t>COMPRAS PROVEEDORES</t>
  </si>
  <si>
    <t>PROVEEDOR</t>
  </si>
  <si>
    <t>GASTOS CAJA CHICA</t>
  </si>
  <si>
    <t>$</t>
  </si>
  <si>
    <t>GANANCIA BRUTA</t>
  </si>
  <si>
    <t>DEJAMOS EN LOS M.P</t>
  </si>
  <si>
    <t>MATIAS</t>
  </si>
  <si>
    <t>CARO</t>
  </si>
  <si>
    <t>LOCAL</t>
  </si>
  <si>
    <t xml:space="preserve">DEJAMOS EL MES ANTERIOR </t>
  </si>
  <si>
    <t>GANANCIA NETA MENSUAL</t>
  </si>
  <si>
    <t xml:space="preserve">DEJAMOS EN CAJA </t>
  </si>
  <si>
    <t xml:space="preserve"> </t>
  </si>
  <si>
    <t xml:space="preserve">VENTA POR UNIDAD </t>
  </si>
  <si>
    <t xml:space="preserve">RETIRO TIENDA NUBE </t>
  </si>
  <si>
    <t xml:space="preserve">LIQUIDACION MERCADO PAGO </t>
  </si>
  <si>
    <t xml:space="preserve">GAS LOCAL </t>
  </si>
  <si>
    <t xml:space="preserve">ALQUILER </t>
  </si>
  <si>
    <t xml:space="preserve">DE A 4 BAHIA </t>
  </si>
  <si>
    <t xml:space="preserve">TIENDA NUBE </t>
  </si>
  <si>
    <t xml:space="preserve">LUZ LOCAL </t>
  </si>
  <si>
    <t xml:space="preserve">MUNICIPALIDAD </t>
  </si>
  <si>
    <t xml:space="preserve">REMERAS BASICAS </t>
  </si>
  <si>
    <t xml:space="preserve">GULP CAPS </t>
  </si>
  <si>
    <t xml:space="preserve">INTERPROVINCIAL </t>
  </si>
  <si>
    <t xml:space="preserve">NICO SANCHEZ </t>
  </si>
  <si>
    <t xml:space="preserve">CORREOS </t>
  </si>
  <si>
    <t xml:space="preserve">EMBAPLAST </t>
  </si>
  <si>
    <t xml:space="preserve">CARLA LIMP </t>
  </si>
  <si>
    <t xml:space="preserve">CORREO </t>
  </si>
  <si>
    <t xml:space="preserve">TIZZANO </t>
  </si>
  <si>
    <t xml:space="preserve">CORREO ARG </t>
  </si>
  <si>
    <t xml:space="preserve">INTERNET LOCAL </t>
  </si>
  <si>
    <t xml:space="preserve">JULI COSUELO </t>
  </si>
  <si>
    <t xml:space="preserve">DTF </t>
  </si>
  <si>
    <t xml:space="preserve">DTF MARTIN </t>
  </si>
  <si>
    <t xml:space="preserve">LAUTARO </t>
  </si>
  <si>
    <t xml:space="preserve">USHUAIA PILOTS </t>
  </si>
  <si>
    <t xml:space="preserve">COMPRA TIENDA </t>
  </si>
  <si>
    <t xml:space="preserve">LIQUIDACION MP </t>
  </si>
  <si>
    <t xml:space="preserve">CASUAL DAY </t>
  </si>
  <si>
    <t xml:space="preserve">COMPRA LOCAL </t>
  </si>
  <si>
    <t xml:space="preserve">MARKET 12 </t>
  </si>
  <si>
    <t xml:space="preserve">FRAN COMISIONES </t>
  </si>
  <si>
    <t xml:space="preserve">UALA VERIFICADO </t>
  </si>
  <si>
    <t xml:space="preserve">PRODUCCION FOTOS </t>
  </si>
  <si>
    <t xml:space="preserve">BORDADOS </t>
  </si>
  <si>
    <t>CREAR TEXTIL</t>
  </si>
  <si>
    <t xml:space="preserve">LOS BIENES </t>
  </si>
  <si>
    <t>CORREO</t>
  </si>
  <si>
    <t xml:space="preserve">ETIQUETAS MAZO </t>
  </si>
  <si>
    <t>PAUTA PUBLI</t>
  </si>
  <si>
    <t xml:space="preserve">BORDADOS + POLAR </t>
  </si>
  <si>
    <t>CORREO ARG</t>
  </si>
  <si>
    <t xml:space="preserve">EXPENSAS LOCAL </t>
  </si>
  <si>
    <t>COSTURERA</t>
  </si>
  <si>
    <t>MONOTRIBUTO</t>
  </si>
  <si>
    <t xml:space="preserve">GORNEI </t>
  </si>
  <si>
    <t xml:space="preserve">ESTAMPAS RICCIO </t>
  </si>
  <si>
    <t xml:space="preserve">LIMPIEZA </t>
  </si>
  <si>
    <t xml:space="preserve">DTF + BORDADOS </t>
  </si>
  <si>
    <t xml:space="preserve">TATI DBG </t>
  </si>
  <si>
    <t xml:space="preserve">JAVIER CASUAL </t>
  </si>
  <si>
    <t xml:space="preserve">LAVAYEN </t>
  </si>
  <si>
    <t xml:space="preserve">PAMPERO </t>
  </si>
  <si>
    <t xml:space="preserve">ELIAS EZEQUIEL </t>
  </si>
  <si>
    <t xml:space="preserve">COMPRA TIENDA TRANS </t>
  </si>
  <si>
    <t xml:space="preserve">NICO MENNA BUZOS </t>
  </si>
  <si>
    <t xml:space="preserve">COMPRA TIENDA TRAS </t>
  </si>
  <si>
    <t xml:space="preserve">RUSIN </t>
  </si>
  <si>
    <t xml:space="preserve">FONDO BLANCO </t>
  </si>
  <si>
    <t xml:space="preserve">RYAN WALTER </t>
  </si>
  <si>
    <t xml:space="preserve">LA FALDA </t>
  </si>
  <si>
    <t>COMPRA TIENDA TRANS X5</t>
  </si>
  <si>
    <t>COMPRA TIENDA TRANS X2</t>
  </si>
  <si>
    <t>COMPRA LOCAL X2</t>
  </si>
  <si>
    <t>TRAPUM</t>
  </si>
  <si>
    <t xml:space="preserve">ANCONA </t>
  </si>
  <si>
    <t xml:space="preserve">JUANCHI MACEIRA </t>
  </si>
  <si>
    <t xml:space="preserve">2 BUZOS </t>
  </si>
  <si>
    <t xml:space="preserve">SWETER </t>
  </si>
  <si>
    <t>CAMPERA MALFOY</t>
  </si>
  <si>
    <t>PURO BASQUET</t>
  </si>
  <si>
    <t>REMERA ARG</t>
  </si>
  <si>
    <t>COMPRA WEB</t>
  </si>
  <si>
    <t xml:space="preserve">COMPRA CARO BSAS </t>
  </si>
  <si>
    <t xml:space="preserve">3 PRODUCTOS LOCAL </t>
  </si>
  <si>
    <t>COMPRA TIENDA TRANS</t>
  </si>
  <si>
    <t xml:space="preserve">JULIAN PDG DTF </t>
  </si>
  <si>
    <t>BOLSONES SALUDABLES</t>
  </si>
  <si>
    <t xml:space="preserve">REMERA ARG </t>
  </si>
  <si>
    <t xml:space="preserve">COMPRA TIENDA X2 </t>
  </si>
  <si>
    <t xml:space="preserve">CUELLOS POLAR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</si>
</sst>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&quot;$&quot;\ #,##0.0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8">
    <xf numFmtId="0" fontId="0" fillId="0" borderId="0" xfId="0"/>
    <xf numFmtId="164" fontId="0" fillId="0" borderId="8" xfId="0" applyNumberFormat="1" applyBorder="1"/>
    <xf numFmtId="0" fontId="0" fillId="0" borderId="11" xfId="0" applyBorder="1" applyAlignment="1">
      <alignment horizontal="center"/>
    </xf>
    <xf numFmtId="164" fontId="0" fillId="2" borderId="20" xfId="0" applyNumberFormat="1" applyFill="1" applyBorder="1"/>
    <xf numFmtId="0" fontId="0" fillId="4" borderId="20" xfId="0" applyFill="1" applyBorder="1"/>
    <xf numFmtId="0" fontId="0" fillId="5" borderId="11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21" xfId="0" applyBorder="1" applyAlignment="1">
      <alignment vertical="center"/>
    </xf>
    <xf numFmtId="164" fontId="0" fillId="0" borderId="21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164" fontId="0" fillId="0" borderId="18" xfId="0" applyNumberFormat="1" applyBorder="1" applyAlignment="1">
      <alignment vertical="center"/>
    </xf>
    <xf numFmtId="165" fontId="0" fillId="0" borderId="19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2" borderId="23" xfId="0" applyNumberFormat="1" applyFill="1" applyBorder="1"/>
    <xf numFmtId="164" fontId="0" fillId="2" borderId="22" xfId="0" applyNumberFormat="1" applyFill="1" applyBorder="1"/>
    <xf numFmtId="164" fontId="0" fillId="8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right" vertical="center"/>
    </xf>
    <xf numFmtId="0" fontId="0" fillId="0" borderId="11" xfId="0" applyBorder="1"/>
    <xf numFmtId="164" fontId="0" fillId="2" borderId="11" xfId="0" applyNumberFormat="1" applyFill="1" applyBorder="1"/>
    <xf numFmtId="164" fontId="0" fillId="0" borderId="11" xfId="0" applyNumberFormat="1" applyBorder="1"/>
    <xf numFmtId="0" fontId="0" fillId="7" borderId="11" xfId="0" applyFill="1" applyBorder="1"/>
    <xf numFmtId="0" fontId="0" fillId="7" borderId="1" xfId="0" applyFill="1" applyBorder="1" applyAlignment="1"/>
    <xf numFmtId="164" fontId="0" fillId="0" borderId="11" xfId="0" applyNumberFormat="1" applyBorder="1" applyAlignment="1"/>
    <xf numFmtId="0" fontId="0" fillId="0" borderId="10" xfId="0" applyNumberFormat="1" applyBorder="1" applyAlignment="1"/>
    <xf numFmtId="0" fontId="0" fillId="9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0" borderId="3" xfId="0" applyNumberFormat="1" applyBorder="1"/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164" fontId="0" fillId="0" borderId="0" xfId="0" applyNumberFormat="1"/>
    <xf numFmtId="164" fontId="0" fillId="0" borderId="11" xfId="0" applyNumberFormat="1" applyBorder="1" applyAlignment="1">
      <alignment horizontal="center"/>
    </xf>
    <xf numFmtId="164" fontId="0" fillId="0" borderId="11" xfId="0" applyNumberFormat="1" applyFill="1" applyBorder="1" applyAlignment="1">
      <alignment horizontal="right" vertical="center"/>
    </xf>
    <xf numFmtId="0" fontId="0" fillId="0" borderId="18" xfId="0" applyFill="1" applyBorder="1" applyAlignment="1">
      <alignment vertical="center"/>
    </xf>
    <xf numFmtId="164" fontId="0" fillId="0" borderId="7" xfId="0" applyNumberFormat="1" applyFill="1" applyBorder="1" applyAlignment="1">
      <alignment vertical="center"/>
    </xf>
    <xf numFmtId="164" fontId="0" fillId="0" borderId="8" xfId="0" applyNumberFormat="1" applyFill="1" applyBorder="1"/>
    <xf numFmtId="0" fontId="0" fillId="0" borderId="28" xfId="0" applyFill="1" applyBorder="1" applyAlignment="1">
      <alignment horizontal="center"/>
    </xf>
    <xf numFmtId="164" fontId="0" fillId="0" borderId="0" xfId="1" applyNumberFormat="1" applyFont="1"/>
    <xf numFmtId="0" fontId="0" fillId="0" borderId="0" xfId="0" applyFill="1"/>
    <xf numFmtId="16" fontId="0" fillId="0" borderId="21" xfId="0" applyNumberFormat="1" applyBorder="1" applyAlignment="1">
      <alignment vertical="center"/>
    </xf>
    <xf numFmtId="16" fontId="0" fillId="0" borderId="18" xfId="0" applyNumberFormat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7" borderId="0" xfId="0" applyFill="1"/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16" fontId="0" fillId="0" borderId="14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4" fontId="0" fillId="0" borderId="5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164" fontId="0" fillId="0" borderId="1" xfId="0" applyNumberFormat="1" applyBorder="1" applyAlignment="1"/>
    <xf numFmtId="164" fontId="0" fillId="0" borderId="3" xfId="0" applyNumberFormat="1" applyBorder="1" applyAlignment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164" fontId="3" fillId="10" borderId="2" xfId="0" applyNumberFormat="1" applyFont="1" applyFill="1" applyBorder="1" applyAlignment="1">
      <alignment horizontal="center"/>
    </xf>
    <xf numFmtId="164" fontId="3" fillId="10" borderId="3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topLeftCell="A25" zoomScale="70" zoomScaleNormal="70" workbookViewId="0">
      <selection activeCell="K47" sqref="K47:M47"/>
    </sheetView>
  </sheetViews>
  <sheetFormatPr baseColWidth="10" defaultRowHeight="15" x14ac:dyDescent="0.25"/>
  <cols>
    <col min="3" max="3" width="11.42578125" customWidth="1"/>
    <col min="4" max="4" width="11.5703125" bestFit="1" customWidth="1"/>
    <col min="5" max="5" width="18.7109375" customWidth="1"/>
    <col min="8" max="8" width="18" customWidth="1"/>
    <col min="10" max="10" width="15.42578125" bestFit="1" customWidth="1"/>
    <col min="15" max="15" width="21.5703125" customWidth="1"/>
    <col min="20" max="20" width="15" bestFit="1" customWidth="1"/>
  </cols>
  <sheetData>
    <row r="1" spans="1:20" x14ac:dyDescent="0.25">
      <c r="A1" s="55" t="s">
        <v>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</row>
    <row r="2" spans="1:20" ht="15.75" thickBot="1" x14ac:dyDescent="0.3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1:20" ht="15.75" thickBot="1" x14ac:dyDescent="0.3">
      <c r="A3" s="93" t="s">
        <v>7</v>
      </c>
      <c r="B3" s="94"/>
      <c r="C3" s="94"/>
      <c r="D3" s="94"/>
      <c r="E3" s="95"/>
      <c r="F3" s="87" t="s">
        <v>22</v>
      </c>
      <c r="G3" s="88"/>
      <c r="H3" s="88"/>
      <c r="I3" s="88"/>
      <c r="J3" s="89"/>
      <c r="K3" s="81" t="s">
        <v>23</v>
      </c>
      <c r="L3" s="82"/>
      <c r="M3" s="82"/>
      <c r="N3" s="82"/>
      <c r="O3" s="83"/>
      <c r="P3" s="71" t="s">
        <v>24</v>
      </c>
      <c r="Q3" s="72"/>
      <c r="R3" s="72"/>
      <c r="S3" s="72"/>
      <c r="T3" s="73"/>
    </row>
    <row r="4" spans="1:20" ht="15.75" thickBot="1" x14ac:dyDescent="0.3">
      <c r="A4" s="96" t="s">
        <v>3</v>
      </c>
      <c r="B4" s="97"/>
      <c r="C4" s="98"/>
      <c r="D4" s="8" t="s">
        <v>4</v>
      </c>
      <c r="E4" s="8" t="s">
        <v>5</v>
      </c>
      <c r="F4" s="99" t="s">
        <v>3</v>
      </c>
      <c r="G4" s="100"/>
      <c r="H4" s="101"/>
      <c r="I4" s="6" t="s">
        <v>4</v>
      </c>
      <c r="J4" s="6" t="s">
        <v>5</v>
      </c>
      <c r="K4" s="84" t="s">
        <v>3</v>
      </c>
      <c r="L4" s="85"/>
      <c r="M4" s="86"/>
      <c r="N4" s="5" t="s">
        <v>4</v>
      </c>
      <c r="O4" s="5" t="s">
        <v>5</v>
      </c>
      <c r="P4" s="74" t="s">
        <v>3</v>
      </c>
      <c r="Q4" s="75"/>
      <c r="R4" s="76"/>
      <c r="S4" s="26" t="s">
        <v>4</v>
      </c>
      <c r="T4" s="26" t="s">
        <v>5</v>
      </c>
    </row>
    <row r="5" spans="1:20" ht="15.75" thickBot="1" x14ac:dyDescent="0.3">
      <c r="A5" s="52" t="s">
        <v>70</v>
      </c>
      <c r="B5" s="53"/>
      <c r="C5" s="54"/>
      <c r="D5" s="9"/>
      <c r="E5" s="10">
        <v>558700</v>
      </c>
      <c r="F5" s="70" t="s">
        <v>50</v>
      </c>
      <c r="G5" s="53"/>
      <c r="H5" s="54"/>
      <c r="I5" s="9"/>
      <c r="J5" s="10">
        <v>57000</v>
      </c>
      <c r="K5" s="70" t="s">
        <v>48</v>
      </c>
      <c r="L5" s="53"/>
      <c r="M5" s="54"/>
      <c r="N5" s="9"/>
      <c r="O5" s="10">
        <v>154617</v>
      </c>
      <c r="P5" s="70"/>
      <c r="Q5" s="53"/>
      <c r="R5" s="54"/>
      <c r="S5" s="46"/>
      <c r="T5" s="10"/>
    </row>
    <row r="6" spans="1:20" ht="15.75" thickBot="1" x14ac:dyDescent="0.3">
      <c r="A6" s="52" t="s">
        <v>51</v>
      </c>
      <c r="B6" s="53"/>
      <c r="C6" s="54"/>
      <c r="D6" s="11"/>
      <c r="E6" s="12">
        <v>122000</v>
      </c>
      <c r="F6" s="52" t="s">
        <v>50</v>
      </c>
      <c r="G6" s="53"/>
      <c r="H6" s="54"/>
      <c r="I6" s="11"/>
      <c r="J6" s="12">
        <v>45000</v>
      </c>
      <c r="K6" s="70" t="s">
        <v>23</v>
      </c>
      <c r="L6" s="53"/>
      <c r="M6" s="54"/>
      <c r="N6" s="11"/>
      <c r="O6" s="12">
        <v>68622</v>
      </c>
      <c r="P6" s="70"/>
      <c r="Q6" s="53"/>
      <c r="R6" s="54"/>
      <c r="S6" s="47"/>
      <c r="T6" s="12"/>
    </row>
    <row r="7" spans="1:20" ht="15.75" thickBot="1" x14ac:dyDescent="0.3">
      <c r="A7" s="77" t="s">
        <v>71</v>
      </c>
      <c r="B7" s="78"/>
      <c r="C7" s="79"/>
      <c r="D7" s="11"/>
      <c r="E7" s="12">
        <v>300000</v>
      </c>
      <c r="F7" s="77" t="s">
        <v>50</v>
      </c>
      <c r="G7" s="78"/>
      <c r="H7" s="79"/>
      <c r="I7" s="11"/>
      <c r="J7" s="12">
        <v>41400</v>
      </c>
      <c r="K7" s="80" t="s">
        <v>48</v>
      </c>
      <c r="L7" s="78"/>
      <c r="M7" s="79"/>
      <c r="N7" s="11"/>
      <c r="O7" s="12">
        <v>169532</v>
      </c>
      <c r="P7" s="70"/>
      <c r="Q7" s="53"/>
      <c r="R7" s="54"/>
      <c r="S7" s="11"/>
      <c r="T7" s="12"/>
    </row>
    <row r="8" spans="1:20" ht="15.75" thickBot="1" x14ac:dyDescent="0.3">
      <c r="A8" s="77" t="s">
        <v>46</v>
      </c>
      <c r="B8" s="78"/>
      <c r="C8" s="79"/>
      <c r="D8" s="11"/>
      <c r="E8" s="12">
        <v>518650</v>
      </c>
      <c r="F8" s="77" t="s">
        <v>84</v>
      </c>
      <c r="G8" s="78"/>
      <c r="H8" s="79"/>
      <c r="I8" s="11"/>
      <c r="J8" s="12">
        <v>196450</v>
      </c>
      <c r="K8" s="80" t="s">
        <v>47</v>
      </c>
      <c r="L8" s="78"/>
      <c r="M8" s="79"/>
      <c r="N8" s="11"/>
      <c r="O8" s="12">
        <v>50378</v>
      </c>
      <c r="P8" s="70"/>
      <c r="Q8" s="53"/>
      <c r="R8" s="54"/>
      <c r="S8" s="11"/>
      <c r="T8" s="12"/>
    </row>
    <row r="9" spans="1:20" ht="15.75" thickBot="1" x14ac:dyDescent="0.3">
      <c r="A9" s="77" t="s">
        <v>72</v>
      </c>
      <c r="B9" s="78"/>
      <c r="C9" s="79"/>
      <c r="D9" s="11"/>
      <c r="E9" s="12">
        <v>940250</v>
      </c>
      <c r="F9" s="77" t="s">
        <v>50</v>
      </c>
      <c r="G9" s="78"/>
      <c r="H9" s="79"/>
      <c r="I9" s="11"/>
      <c r="J9" s="12">
        <v>65000</v>
      </c>
      <c r="K9" s="80" t="s">
        <v>75</v>
      </c>
      <c r="L9" s="78"/>
      <c r="M9" s="79"/>
      <c r="N9" s="11"/>
      <c r="O9" s="12">
        <v>62178</v>
      </c>
      <c r="P9" s="70"/>
      <c r="Q9" s="53"/>
      <c r="R9" s="54"/>
      <c r="S9" s="11"/>
      <c r="T9" s="12"/>
    </row>
    <row r="10" spans="1:20" ht="15.75" thickBot="1" x14ac:dyDescent="0.3">
      <c r="A10" s="77" t="s">
        <v>73</v>
      </c>
      <c r="B10" s="78"/>
      <c r="C10" s="79"/>
      <c r="D10" s="11"/>
      <c r="E10" s="12">
        <v>380000</v>
      </c>
      <c r="F10" s="77" t="s">
        <v>89</v>
      </c>
      <c r="G10" s="78"/>
      <c r="H10" s="79"/>
      <c r="I10" s="11"/>
      <c r="J10" s="12">
        <v>105000</v>
      </c>
      <c r="K10" s="80" t="s">
        <v>77</v>
      </c>
      <c r="L10" s="78"/>
      <c r="M10" s="79"/>
      <c r="N10" s="11"/>
      <c r="O10" s="12">
        <v>209945</v>
      </c>
      <c r="P10" s="70"/>
      <c r="Q10" s="53"/>
      <c r="R10" s="54"/>
      <c r="S10" s="11"/>
      <c r="T10" s="12"/>
    </row>
    <row r="11" spans="1:20" ht="15.75" thickBot="1" x14ac:dyDescent="0.3">
      <c r="A11" s="77" t="s">
        <v>74</v>
      </c>
      <c r="B11" s="78"/>
      <c r="C11" s="79"/>
      <c r="D11" s="11"/>
      <c r="E11" s="12">
        <v>229000</v>
      </c>
      <c r="F11" s="77" t="s">
        <v>90</v>
      </c>
      <c r="G11" s="78"/>
      <c r="H11" s="79"/>
      <c r="I11" s="11"/>
      <c r="J11" s="12">
        <v>69600</v>
      </c>
      <c r="K11" s="80" t="s">
        <v>75</v>
      </c>
      <c r="L11" s="78"/>
      <c r="M11" s="79"/>
      <c r="N11" s="11"/>
      <c r="O11" s="12">
        <v>61034</v>
      </c>
      <c r="P11" s="70"/>
      <c r="Q11" s="53"/>
      <c r="R11" s="54"/>
      <c r="S11" s="11"/>
      <c r="T11" s="12"/>
    </row>
    <row r="12" spans="1:20" ht="15.75" thickBot="1" x14ac:dyDescent="0.3">
      <c r="A12" s="77" t="s">
        <v>49</v>
      </c>
      <c r="B12" s="78"/>
      <c r="C12" s="79"/>
      <c r="D12" s="11"/>
      <c r="E12" s="12">
        <v>200000</v>
      </c>
      <c r="F12" s="77" t="s">
        <v>50</v>
      </c>
      <c r="G12" s="78"/>
      <c r="H12" s="79"/>
      <c r="I12" s="11"/>
      <c r="J12" s="12">
        <v>47500</v>
      </c>
      <c r="K12" s="80" t="s">
        <v>48</v>
      </c>
      <c r="L12" s="78"/>
      <c r="M12" s="79"/>
      <c r="N12" s="11"/>
      <c r="O12" s="12">
        <v>80641</v>
      </c>
      <c r="P12" s="70"/>
      <c r="Q12" s="53"/>
      <c r="R12" s="54"/>
      <c r="S12" s="11"/>
      <c r="T12" s="12"/>
    </row>
    <row r="13" spans="1:20" ht="15.75" thickBot="1" x14ac:dyDescent="0.3">
      <c r="A13" s="77" t="s">
        <v>76</v>
      </c>
      <c r="B13" s="78"/>
      <c r="C13" s="79"/>
      <c r="D13" s="11"/>
      <c r="E13" s="12">
        <v>146150</v>
      </c>
      <c r="F13" s="52" t="s">
        <v>92</v>
      </c>
      <c r="G13" s="53"/>
      <c r="H13" s="54"/>
      <c r="I13" s="11"/>
      <c r="J13" s="12">
        <v>65700</v>
      </c>
      <c r="K13" s="80" t="s">
        <v>75</v>
      </c>
      <c r="L13" s="78"/>
      <c r="M13" s="79"/>
      <c r="N13" s="11"/>
      <c r="O13" s="12">
        <v>58238</v>
      </c>
      <c r="P13" s="70"/>
      <c r="Q13" s="53"/>
      <c r="R13" s="54"/>
      <c r="S13" s="11"/>
      <c r="T13" s="12"/>
    </row>
    <row r="14" spans="1:20" ht="15.75" thickBot="1" x14ac:dyDescent="0.3">
      <c r="A14" s="77" t="s">
        <v>72</v>
      </c>
      <c r="B14" s="78"/>
      <c r="C14" s="79"/>
      <c r="D14" s="11"/>
      <c r="E14" s="12">
        <v>940250</v>
      </c>
      <c r="F14" s="77" t="s">
        <v>94</v>
      </c>
      <c r="G14" s="78"/>
      <c r="H14" s="79"/>
      <c r="I14" s="11"/>
      <c r="J14" s="12">
        <v>120000</v>
      </c>
      <c r="K14" s="77" t="s">
        <v>75</v>
      </c>
      <c r="L14" s="78"/>
      <c r="M14" s="79"/>
      <c r="N14" s="11"/>
      <c r="O14" s="12">
        <v>132800</v>
      </c>
      <c r="P14" s="70"/>
      <c r="Q14" s="53"/>
      <c r="R14" s="54"/>
      <c r="S14" s="11"/>
      <c r="T14" s="12"/>
    </row>
    <row r="15" spans="1:20" ht="15.75" thickBot="1" x14ac:dyDescent="0.3">
      <c r="A15" s="77" t="s">
        <v>49</v>
      </c>
      <c r="B15" s="78"/>
      <c r="C15" s="79"/>
      <c r="D15" s="11"/>
      <c r="E15" s="12">
        <v>100000</v>
      </c>
      <c r="F15" s="77" t="s">
        <v>89</v>
      </c>
      <c r="G15" s="78"/>
      <c r="H15" s="79"/>
      <c r="I15" s="11"/>
      <c r="J15" s="12">
        <v>100000</v>
      </c>
      <c r="K15" s="77" t="s">
        <v>83</v>
      </c>
      <c r="L15" s="78"/>
      <c r="M15" s="79"/>
      <c r="N15" s="11"/>
      <c r="O15" s="12">
        <v>146494</v>
      </c>
      <c r="P15" s="70"/>
      <c r="Q15" s="53"/>
      <c r="R15" s="54"/>
      <c r="S15" s="11"/>
      <c r="T15" s="12"/>
    </row>
    <row r="16" spans="1:20" ht="15.75" thickBot="1" x14ac:dyDescent="0.3">
      <c r="A16" s="77" t="s">
        <v>78</v>
      </c>
      <c r="B16" s="78"/>
      <c r="C16" s="79"/>
      <c r="D16" s="11"/>
      <c r="E16" s="12">
        <v>282800</v>
      </c>
      <c r="F16" s="77" t="s">
        <v>95</v>
      </c>
      <c r="G16" s="78"/>
      <c r="H16" s="79"/>
      <c r="I16" s="11"/>
      <c r="J16" s="12">
        <v>168450</v>
      </c>
      <c r="K16" s="77" t="s">
        <v>82</v>
      </c>
      <c r="L16" s="78"/>
      <c r="M16" s="79"/>
      <c r="N16" s="11"/>
      <c r="O16" s="12">
        <v>393011</v>
      </c>
      <c r="P16" s="52"/>
      <c r="Q16" s="53"/>
      <c r="R16" s="54"/>
      <c r="S16" s="11"/>
      <c r="T16" s="12"/>
    </row>
    <row r="17" spans="1:20" ht="15.75" thickBot="1" x14ac:dyDescent="0.3">
      <c r="A17" s="77" t="s">
        <v>76</v>
      </c>
      <c r="B17" s="78"/>
      <c r="C17" s="79"/>
      <c r="D17" s="11"/>
      <c r="E17" s="12">
        <v>142150</v>
      </c>
      <c r="F17" s="77" t="s">
        <v>92</v>
      </c>
      <c r="G17" s="78"/>
      <c r="H17" s="79"/>
      <c r="I17" s="11"/>
      <c r="J17" s="12">
        <v>65700</v>
      </c>
      <c r="K17" s="77" t="s">
        <v>83</v>
      </c>
      <c r="L17" s="78"/>
      <c r="M17" s="79"/>
      <c r="N17" s="11"/>
      <c r="O17" s="12">
        <v>167955</v>
      </c>
      <c r="P17" s="52"/>
      <c r="Q17" s="53"/>
      <c r="R17" s="54"/>
      <c r="S17" s="11"/>
      <c r="T17" s="12"/>
    </row>
    <row r="18" spans="1:20" ht="15.75" thickBot="1" x14ac:dyDescent="0.3">
      <c r="A18" s="77" t="s">
        <v>79</v>
      </c>
      <c r="B18" s="78"/>
      <c r="C18" s="79"/>
      <c r="D18" s="11"/>
      <c r="E18" s="12">
        <v>64500</v>
      </c>
      <c r="F18" s="77" t="s">
        <v>99</v>
      </c>
      <c r="G18" s="78"/>
      <c r="H18" s="79"/>
      <c r="I18" s="11"/>
      <c r="J18" s="12">
        <v>60000</v>
      </c>
      <c r="K18" s="77" t="s">
        <v>23</v>
      </c>
      <c r="L18" s="78"/>
      <c r="M18" s="79"/>
      <c r="N18" s="11"/>
      <c r="O18" s="12">
        <v>63849</v>
      </c>
      <c r="P18" s="52"/>
      <c r="Q18" s="53"/>
      <c r="R18" s="54"/>
      <c r="S18" s="11"/>
      <c r="T18" s="12"/>
    </row>
    <row r="19" spans="1:20" ht="15.75" thickBot="1" x14ac:dyDescent="0.3">
      <c r="A19" s="77" t="s">
        <v>34</v>
      </c>
      <c r="B19" s="78"/>
      <c r="C19" s="79"/>
      <c r="D19" s="11"/>
      <c r="E19" s="12">
        <v>62400</v>
      </c>
      <c r="F19" s="77" t="s">
        <v>50</v>
      </c>
      <c r="G19" s="78"/>
      <c r="H19" s="79"/>
      <c r="I19" s="11"/>
      <c r="J19" s="12">
        <v>35000</v>
      </c>
      <c r="K19" s="77" t="s">
        <v>47</v>
      </c>
      <c r="L19" s="78"/>
      <c r="M19" s="79"/>
      <c r="N19" s="11"/>
      <c r="O19" s="12">
        <v>73134</v>
      </c>
      <c r="P19" s="52"/>
      <c r="Q19" s="53"/>
      <c r="R19" s="54"/>
      <c r="S19" s="11"/>
      <c r="T19" s="12"/>
    </row>
    <row r="20" spans="1:20" ht="15.75" thickBot="1" x14ac:dyDescent="0.3">
      <c r="A20" s="77" t="s">
        <v>80</v>
      </c>
      <c r="B20" s="78"/>
      <c r="C20" s="79"/>
      <c r="D20" s="11"/>
      <c r="E20" s="12">
        <v>252800</v>
      </c>
      <c r="F20" s="77"/>
      <c r="G20" s="78"/>
      <c r="H20" s="79"/>
      <c r="I20" s="11"/>
      <c r="J20" s="12"/>
      <c r="K20" s="77" t="s">
        <v>47</v>
      </c>
      <c r="L20" s="78"/>
      <c r="M20" s="79"/>
      <c r="N20" s="11"/>
      <c r="O20" s="12">
        <v>108000</v>
      </c>
      <c r="P20" s="52"/>
      <c r="Q20" s="53"/>
      <c r="R20" s="54"/>
      <c r="S20" s="11"/>
      <c r="T20" s="12"/>
    </row>
    <row r="21" spans="1:20" ht="15.75" thickBot="1" x14ac:dyDescent="0.3">
      <c r="A21" s="77" t="s">
        <v>81</v>
      </c>
      <c r="B21" s="78"/>
      <c r="C21" s="79"/>
      <c r="D21" s="11"/>
      <c r="E21" s="12">
        <v>200000</v>
      </c>
      <c r="F21" s="77"/>
      <c r="G21" s="78"/>
      <c r="H21" s="79"/>
      <c r="I21" s="11"/>
      <c r="J21" s="12"/>
      <c r="K21" s="77" t="s">
        <v>47</v>
      </c>
      <c r="L21" s="78"/>
      <c r="M21" s="79"/>
      <c r="N21" s="11"/>
      <c r="O21" s="13">
        <v>72810</v>
      </c>
      <c r="P21" s="52"/>
      <c r="Q21" s="53"/>
      <c r="R21" s="54"/>
      <c r="S21" s="11"/>
      <c r="T21" s="13"/>
    </row>
    <row r="22" spans="1:20" ht="15.75" thickBot="1" x14ac:dyDescent="0.3">
      <c r="A22" s="77" t="s">
        <v>85</v>
      </c>
      <c r="B22" s="78"/>
      <c r="C22" s="79"/>
      <c r="D22" s="11"/>
      <c r="E22" s="12">
        <v>270000</v>
      </c>
      <c r="F22" s="77"/>
      <c r="G22" s="78"/>
      <c r="H22" s="79"/>
      <c r="I22" s="11"/>
      <c r="J22" s="12"/>
      <c r="K22" s="77" t="s">
        <v>47</v>
      </c>
      <c r="L22" s="78"/>
      <c r="M22" s="79"/>
      <c r="N22" s="11"/>
      <c r="O22" s="12">
        <v>73046</v>
      </c>
      <c r="P22" s="52"/>
      <c r="Q22" s="53"/>
      <c r="R22" s="54"/>
      <c r="S22" s="11"/>
      <c r="T22" s="12"/>
    </row>
    <row r="23" spans="1:20" ht="15.75" thickBot="1" x14ac:dyDescent="0.3">
      <c r="A23" s="77" t="s">
        <v>86</v>
      </c>
      <c r="B23" s="78"/>
      <c r="C23" s="79"/>
      <c r="D23" s="11"/>
      <c r="E23" s="12">
        <v>167200</v>
      </c>
      <c r="F23" s="77"/>
      <c r="G23" s="78"/>
      <c r="H23" s="79"/>
      <c r="I23" s="11"/>
      <c r="J23" s="12"/>
      <c r="K23" s="77" t="s">
        <v>23</v>
      </c>
      <c r="L23" s="78"/>
      <c r="M23" s="79"/>
      <c r="N23" s="11"/>
      <c r="O23" s="12">
        <v>183720</v>
      </c>
      <c r="P23" s="52"/>
      <c r="Q23" s="53"/>
      <c r="R23" s="54"/>
      <c r="S23" s="11"/>
      <c r="T23" s="12"/>
    </row>
    <row r="24" spans="1:20" ht="15.75" thickBot="1" x14ac:dyDescent="0.3">
      <c r="A24" s="77" t="s">
        <v>87</v>
      </c>
      <c r="B24" s="78"/>
      <c r="C24" s="79"/>
      <c r="D24" s="11"/>
      <c r="E24" s="12">
        <v>414000</v>
      </c>
      <c r="F24" s="77"/>
      <c r="G24" s="78"/>
      <c r="H24" s="79"/>
      <c r="I24" s="11"/>
      <c r="J24" s="12"/>
      <c r="K24" s="77" t="s">
        <v>75</v>
      </c>
      <c r="L24" s="78"/>
      <c r="M24" s="79"/>
      <c r="N24" s="11"/>
      <c r="O24" s="12">
        <v>96029</v>
      </c>
      <c r="P24" s="52"/>
      <c r="Q24" s="53"/>
      <c r="R24" s="54"/>
      <c r="S24" s="11"/>
      <c r="T24" s="12"/>
    </row>
    <row r="25" spans="1:20" ht="15.75" thickBot="1" x14ac:dyDescent="0.3">
      <c r="A25" s="77" t="s">
        <v>88</v>
      </c>
      <c r="B25" s="78"/>
      <c r="C25" s="79"/>
      <c r="D25" s="11"/>
      <c r="E25" s="12">
        <v>76000</v>
      </c>
      <c r="F25" s="77"/>
      <c r="G25" s="78"/>
      <c r="H25" s="79"/>
      <c r="I25" s="11"/>
      <c r="J25" s="12"/>
      <c r="K25" s="77" t="s">
        <v>75</v>
      </c>
      <c r="L25" s="78"/>
      <c r="M25" s="79"/>
      <c r="N25" s="11"/>
      <c r="O25" s="12">
        <v>131400</v>
      </c>
      <c r="P25" s="52"/>
      <c r="Q25" s="53"/>
      <c r="R25" s="54"/>
      <c r="S25" s="11"/>
      <c r="T25" s="12"/>
    </row>
    <row r="26" spans="1:20" ht="15.75" thickBot="1" x14ac:dyDescent="0.3">
      <c r="A26" s="52" t="s">
        <v>49</v>
      </c>
      <c r="B26" s="53"/>
      <c r="C26" s="54"/>
      <c r="D26" s="11"/>
      <c r="E26" s="12">
        <v>52500</v>
      </c>
      <c r="F26" s="52"/>
      <c r="G26" s="53"/>
      <c r="H26" s="54"/>
      <c r="I26" s="11"/>
      <c r="J26" s="12"/>
      <c r="K26" s="52" t="s">
        <v>48</v>
      </c>
      <c r="L26" s="53"/>
      <c r="M26" s="54"/>
      <c r="N26" s="11"/>
      <c r="O26" s="12">
        <v>140327</v>
      </c>
      <c r="P26" s="52"/>
      <c r="Q26" s="53"/>
      <c r="R26" s="54"/>
      <c r="S26" s="11"/>
      <c r="T26" s="12"/>
    </row>
    <row r="27" spans="1:20" ht="15.75" thickBot="1" x14ac:dyDescent="0.3">
      <c r="A27" s="52" t="s">
        <v>91</v>
      </c>
      <c r="B27" s="53"/>
      <c r="C27" s="54"/>
      <c r="D27" s="11"/>
      <c r="E27" s="12">
        <v>46000</v>
      </c>
      <c r="F27" s="52"/>
      <c r="G27" s="53"/>
      <c r="H27" s="54"/>
      <c r="I27" s="11"/>
      <c r="J27" s="12"/>
      <c r="K27" s="52" t="s">
        <v>23</v>
      </c>
      <c r="L27" s="53"/>
      <c r="M27" s="54"/>
      <c r="N27" s="11"/>
      <c r="O27" s="12">
        <v>182321</v>
      </c>
      <c r="P27" s="52"/>
      <c r="Q27" s="53"/>
      <c r="R27" s="54"/>
      <c r="S27" s="11"/>
      <c r="T27" s="12"/>
    </row>
    <row r="28" spans="1:20" ht="15.75" thickBot="1" x14ac:dyDescent="0.3">
      <c r="A28" s="52" t="s">
        <v>86</v>
      </c>
      <c r="B28" s="53"/>
      <c r="C28" s="54"/>
      <c r="D28" s="11"/>
      <c r="E28" s="12">
        <v>167000</v>
      </c>
      <c r="F28" s="52"/>
      <c r="G28" s="53"/>
      <c r="H28" s="54"/>
      <c r="I28" s="11"/>
      <c r="J28" s="12"/>
      <c r="K28" s="52" t="s">
        <v>23</v>
      </c>
      <c r="L28" s="53"/>
      <c r="M28" s="54"/>
      <c r="N28" s="11"/>
      <c r="O28" s="12">
        <v>217706</v>
      </c>
      <c r="P28" s="52"/>
      <c r="Q28" s="53"/>
      <c r="R28" s="54"/>
      <c r="S28" s="11"/>
      <c r="T28" s="12"/>
    </row>
    <row r="29" spans="1:20" ht="15.75" thickBot="1" x14ac:dyDescent="0.3">
      <c r="A29" s="52" t="s">
        <v>87</v>
      </c>
      <c r="B29" s="53"/>
      <c r="C29" s="54"/>
      <c r="D29" s="11"/>
      <c r="E29" s="12">
        <v>412800</v>
      </c>
      <c r="F29" s="52"/>
      <c r="G29" s="53"/>
      <c r="H29" s="54"/>
      <c r="I29" s="11"/>
      <c r="J29" s="12"/>
      <c r="K29" s="52" t="s">
        <v>48</v>
      </c>
      <c r="L29" s="53"/>
      <c r="M29" s="54"/>
      <c r="N29" s="11"/>
      <c r="O29" s="12">
        <v>65127</v>
      </c>
      <c r="P29" s="52"/>
      <c r="Q29" s="53"/>
      <c r="R29" s="54"/>
      <c r="S29" s="11"/>
      <c r="T29" s="12"/>
    </row>
    <row r="30" spans="1:20" ht="15.75" thickBot="1" x14ac:dyDescent="0.3">
      <c r="A30" s="52" t="s">
        <v>78</v>
      </c>
      <c r="B30" s="53"/>
      <c r="C30" s="54"/>
      <c r="D30" s="11"/>
      <c r="E30" s="12">
        <v>389000</v>
      </c>
      <c r="F30" s="52"/>
      <c r="G30" s="53"/>
      <c r="H30" s="54"/>
      <c r="I30" s="11"/>
      <c r="J30" s="12"/>
      <c r="K30" s="52" t="s">
        <v>23</v>
      </c>
      <c r="L30" s="53"/>
      <c r="M30" s="54"/>
      <c r="N30" s="11"/>
      <c r="O30" s="12">
        <v>419538</v>
      </c>
      <c r="P30" s="52"/>
      <c r="Q30" s="53"/>
      <c r="R30" s="54"/>
      <c r="S30" s="11"/>
      <c r="T30" s="12"/>
    </row>
    <row r="31" spans="1:20" ht="15.75" thickBot="1" x14ac:dyDescent="0.3">
      <c r="A31" s="52" t="s">
        <v>97</v>
      </c>
      <c r="B31" s="53"/>
      <c r="C31" s="54"/>
      <c r="D31" s="11"/>
      <c r="E31" s="12">
        <v>205000</v>
      </c>
      <c r="F31" s="52"/>
      <c r="G31" s="53"/>
      <c r="H31" s="54"/>
      <c r="I31" s="11"/>
      <c r="J31" s="12"/>
      <c r="K31" s="52" t="s">
        <v>93</v>
      </c>
      <c r="L31" s="53"/>
      <c r="M31" s="54"/>
      <c r="N31" s="11"/>
      <c r="O31" s="12">
        <v>87750</v>
      </c>
      <c r="P31" s="52"/>
      <c r="Q31" s="53"/>
      <c r="R31" s="54"/>
      <c r="S31" s="11"/>
      <c r="T31" s="12"/>
    </row>
    <row r="32" spans="1:20" ht="15.75" thickBot="1" x14ac:dyDescent="0.3">
      <c r="A32" s="52" t="s">
        <v>98</v>
      </c>
      <c r="B32" s="53"/>
      <c r="C32" s="54"/>
      <c r="D32" s="11"/>
      <c r="E32" s="12">
        <v>288000</v>
      </c>
      <c r="F32" s="52"/>
      <c r="G32" s="53"/>
      <c r="H32" s="54"/>
      <c r="I32" s="11"/>
      <c r="J32" s="12"/>
      <c r="K32" s="52" t="s">
        <v>48</v>
      </c>
      <c r="L32" s="53"/>
      <c r="M32" s="54"/>
      <c r="N32" s="11"/>
      <c r="O32" s="12">
        <v>197235</v>
      </c>
      <c r="P32" s="52"/>
      <c r="Q32" s="53"/>
      <c r="R32" s="54"/>
      <c r="S32" s="11"/>
      <c r="T32" s="12"/>
    </row>
    <row r="33" spans="1:20" ht="15.75" thickBot="1" x14ac:dyDescent="0.3">
      <c r="A33" s="52" t="s">
        <v>81</v>
      </c>
      <c r="B33" s="53"/>
      <c r="C33" s="54"/>
      <c r="D33" s="11"/>
      <c r="E33" s="12">
        <v>273000</v>
      </c>
      <c r="F33" s="52"/>
      <c r="G33" s="53"/>
      <c r="H33" s="54"/>
      <c r="I33" s="11"/>
      <c r="J33" s="12"/>
      <c r="K33" s="52" t="s">
        <v>75</v>
      </c>
      <c r="L33" s="53"/>
      <c r="M33" s="54"/>
      <c r="N33" s="11"/>
      <c r="O33" s="12">
        <v>74647</v>
      </c>
      <c r="P33" s="52"/>
      <c r="Q33" s="53"/>
      <c r="R33" s="54"/>
      <c r="S33" s="11"/>
      <c r="T33" s="12"/>
    </row>
    <row r="34" spans="1:20" ht="15.75" thickBot="1" x14ac:dyDescent="0.3">
      <c r="A34" s="52"/>
      <c r="B34" s="53"/>
      <c r="C34" s="54"/>
      <c r="D34" s="11"/>
      <c r="E34" s="12"/>
      <c r="F34" s="52"/>
      <c r="G34" s="53"/>
      <c r="H34" s="54"/>
      <c r="I34" s="11"/>
      <c r="J34" s="12"/>
      <c r="K34" s="52" t="s">
        <v>23</v>
      </c>
      <c r="L34" s="53"/>
      <c r="M34" s="54"/>
      <c r="N34" s="11"/>
      <c r="O34" s="12">
        <v>158326</v>
      </c>
      <c r="P34" s="52"/>
      <c r="Q34" s="53"/>
      <c r="R34" s="54"/>
      <c r="S34" s="11"/>
      <c r="T34" s="12"/>
    </row>
    <row r="35" spans="1:20" ht="15.75" thickBot="1" x14ac:dyDescent="0.3">
      <c r="A35" s="52"/>
      <c r="B35" s="53"/>
      <c r="C35" s="54"/>
      <c r="D35" s="11"/>
      <c r="E35" s="12"/>
      <c r="F35" s="52"/>
      <c r="G35" s="53"/>
      <c r="H35" s="54"/>
      <c r="I35" s="11"/>
      <c r="J35" s="12"/>
      <c r="K35" s="52" t="s">
        <v>48</v>
      </c>
      <c r="L35" s="53"/>
      <c r="M35" s="54"/>
      <c r="N35" s="11"/>
      <c r="O35" s="12">
        <v>62680</v>
      </c>
      <c r="P35" s="52"/>
      <c r="Q35" s="53"/>
      <c r="R35" s="54"/>
      <c r="S35" s="11"/>
      <c r="T35" s="12"/>
    </row>
    <row r="36" spans="1:20" ht="15.75" thickBot="1" x14ac:dyDescent="0.3">
      <c r="A36" s="52"/>
      <c r="B36" s="53"/>
      <c r="C36" s="54"/>
      <c r="D36" s="11"/>
      <c r="E36" s="12"/>
      <c r="F36" s="52"/>
      <c r="G36" s="53"/>
      <c r="H36" s="54"/>
      <c r="I36" s="11"/>
      <c r="J36" s="12"/>
      <c r="K36" s="52" t="s">
        <v>23</v>
      </c>
      <c r="L36" s="53"/>
      <c r="M36" s="54"/>
      <c r="N36" s="11"/>
      <c r="O36" s="12">
        <v>257000</v>
      </c>
      <c r="P36" s="52"/>
      <c r="Q36" s="53"/>
      <c r="R36" s="54"/>
      <c r="S36" s="11"/>
      <c r="T36" s="12"/>
    </row>
    <row r="37" spans="1:20" ht="15.75" thickBot="1" x14ac:dyDescent="0.3">
      <c r="A37" s="52"/>
      <c r="B37" s="53"/>
      <c r="C37" s="54"/>
      <c r="D37" s="11"/>
      <c r="E37" s="12"/>
      <c r="F37" s="52"/>
      <c r="G37" s="53"/>
      <c r="H37" s="54"/>
      <c r="I37" s="11"/>
      <c r="J37" s="12"/>
      <c r="K37" s="52" t="s">
        <v>48</v>
      </c>
      <c r="L37" s="53"/>
      <c r="M37" s="54"/>
      <c r="N37" s="11"/>
      <c r="O37" s="12">
        <v>130461</v>
      </c>
      <c r="P37" s="52"/>
      <c r="Q37" s="53"/>
      <c r="R37" s="54"/>
      <c r="S37" s="11"/>
      <c r="T37" s="12"/>
    </row>
    <row r="38" spans="1:20" ht="15.75" thickBot="1" x14ac:dyDescent="0.3">
      <c r="A38" s="52"/>
      <c r="B38" s="53"/>
      <c r="C38" s="54"/>
      <c r="D38" s="11"/>
      <c r="E38" s="12"/>
      <c r="F38" s="52"/>
      <c r="G38" s="53"/>
      <c r="H38" s="54"/>
      <c r="I38" s="11"/>
      <c r="J38" s="12"/>
      <c r="K38" s="52" t="s">
        <v>96</v>
      </c>
      <c r="L38" s="53"/>
      <c r="M38" s="54"/>
      <c r="N38" s="11"/>
      <c r="O38" s="12">
        <v>131400</v>
      </c>
      <c r="P38" s="52"/>
      <c r="Q38" s="53"/>
      <c r="R38" s="54"/>
      <c r="S38" s="11"/>
      <c r="T38" s="12"/>
    </row>
    <row r="39" spans="1:20" ht="15.75" thickBot="1" x14ac:dyDescent="0.3">
      <c r="A39" s="52"/>
      <c r="B39" s="53"/>
      <c r="C39" s="54"/>
      <c r="D39" s="11"/>
      <c r="E39" s="12"/>
      <c r="F39" s="52"/>
      <c r="G39" s="53"/>
      <c r="H39" s="54"/>
      <c r="I39" s="11"/>
      <c r="J39" s="12"/>
      <c r="K39" s="52" t="s">
        <v>48</v>
      </c>
      <c r="L39" s="53"/>
      <c r="M39" s="54"/>
      <c r="N39" s="11"/>
      <c r="O39" s="12">
        <v>68698</v>
      </c>
      <c r="P39" s="52"/>
      <c r="Q39" s="53"/>
      <c r="R39" s="54"/>
      <c r="S39" s="11"/>
      <c r="T39" s="12"/>
    </row>
    <row r="40" spans="1:20" ht="15.75" thickBot="1" x14ac:dyDescent="0.3">
      <c r="A40" s="52"/>
      <c r="B40" s="53"/>
      <c r="C40" s="54"/>
      <c r="D40" s="11"/>
      <c r="E40" s="12"/>
      <c r="F40" s="52"/>
      <c r="G40" s="53"/>
      <c r="H40" s="54"/>
      <c r="I40" s="11"/>
      <c r="J40" s="12"/>
      <c r="K40" s="52" t="s">
        <v>23</v>
      </c>
      <c r="L40" s="53"/>
      <c r="M40" s="54"/>
      <c r="N40" s="11"/>
      <c r="O40" s="12">
        <v>271650</v>
      </c>
      <c r="P40" s="52"/>
      <c r="Q40" s="53"/>
      <c r="R40" s="54"/>
      <c r="S40" s="11"/>
      <c r="T40" s="12"/>
    </row>
    <row r="41" spans="1:20" ht="15.75" thickBot="1" x14ac:dyDescent="0.3">
      <c r="A41" s="52"/>
      <c r="B41" s="53"/>
      <c r="C41" s="54"/>
      <c r="D41" s="11"/>
      <c r="E41" s="12"/>
      <c r="F41" s="52"/>
      <c r="G41" s="53"/>
      <c r="H41" s="54"/>
      <c r="I41" s="11"/>
      <c r="J41" s="12"/>
      <c r="K41" s="52" t="s">
        <v>47</v>
      </c>
      <c r="L41" s="53"/>
      <c r="M41" s="54"/>
      <c r="N41" s="11"/>
      <c r="O41" s="12">
        <v>22175</v>
      </c>
      <c r="P41" s="52"/>
      <c r="Q41" s="53"/>
      <c r="R41" s="54"/>
      <c r="S41" s="11"/>
      <c r="T41" s="12"/>
    </row>
    <row r="42" spans="1:20" ht="15.75" thickBot="1" x14ac:dyDescent="0.3">
      <c r="A42" s="52"/>
      <c r="B42" s="53"/>
      <c r="C42" s="54"/>
      <c r="D42" s="11"/>
      <c r="E42" s="12"/>
      <c r="F42" s="52"/>
      <c r="G42" s="53"/>
      <c r="H42" s="54"/>
      <c r="I42" s="11"/>
      <c r="J42" s="12"/>
      <c r="K42" s="52" t="s">
        <v>48</v>
      </c>
      <c r="L42" s="53"/>
      <c r="M42" s="54"/>
      <c r="N42" s="11"/>
      <c r="O42" s="12">
        <v>303823</v>
      </c>
      <c r="P42" s="52"/>
      <c r="Q42" s="53"/>
      <c r="R42" s="54"/>
      <c r="S42" s="11"/>
      <c r="T42" s="12"/>
    </row>
    <row r="43" spans="1:20" ht="15.75" thickBot="1" x14ac:dyDescent="0.3">
      <c r="A43" s="52"/>
      <c r="B43" s="53"/>
      <c r="C43" s="54"/>
      <c r="D43" s="11"/>
      <c r="E43" s="12"/>
      <c r="F43" s="52"/>
      <c r="G43" s="53"/>
      <c r="H43" s="54"/>
      <c r="I43" s="11"/>
      <c r="J43" s="12"/>
      <c r="K43" s="52" t="s">
        <v>23</v>
      </c>
      <c r="L43" s="53"/>
      <c r="M43" s="54"/>
      <c r="N43" s="11"/>
      <c r="O43" s="12">
        <v>132281</v>
      </c>
      <c r="P43" s="52"/>
      <c r="Q43" s="53"/>
      <c r="R43" s="54"/>
      <c r="S43" s="11"/>
      <c r="T43" s="12"/>
    </row>
    <row r="44" spans="1:20" ht="15.75" thickBot="1" x14ac:dyDescent="0.3">
      <c r="A44" s="52"/>
      <c r="B44" s="53"/>
      <c r="C44" s="54"/>
      <c r="D44" s="11"/>
      <c r="E44" s="12"/>
      <c r="F44" s="52"/>
      <c r="G44" s="53"/>
      <c r="H44" s="54"/>
      <c r="I44" s="11"/>
      <c r="J44" s="12"/>
      <c r="K44" s="52" t="s">
        <v>47</v>
      </c>
      <c r="L44" s="53"/>
      <c r="M44" s="54"/>
      <c r="N44" s="11"/>
      <c r="O44" s="12">
        <v>64400</v>
      </c>
      <c r="P44" s="52"/>
      <c r="Q44" s="53"/>
      <c r="R44" s="54"/>
      <c r="S44" s="11"/>
      <c r="T44" s="12"/>
    </row>
    <row r="45" spans="1:20" ht="15.75" thickBot="1" x14ac:dyDescent="0.3">
      <c r="A45" s="52"/>
      <c r="B45" s="53"/>
      <c r="C45" s="54"/>
      <c r="D45" s="11"/>
      <c r="E45" s="12"/>
      <c r="F45" s="52"/>
      <c r="G45" s="53"/>
      <c r="H45" s="54"/>
      <c r="I45" s="11"/>
      <c r="J45" s="12"/>
      <c r="K45" s="52" t="s">
        <v>48</v>
      </c>
      <c r="L45" s="53"/>
      <c r="M45" s="54"/>
      <c r="N45" s="11"/>
      <c r="O45" s="12">
        <v>76169</v>
      </c>
      <c r="P45" s="52"/>
      <c r="Q45" s="53"/>
      <c r="R45" s="54"/>
      <c r="S45" s="11"/>
      <c r="T45" s="12"/>
    </row>
    <row r="46" spans="1:20" ht="15.75" thickBot="1" x14ac:dyDescent="0.3">
      <c r="A46" s="52"/>
      <c r="B46" s="53"/>
      <c r="C46" s="54"/>
      <c r="D46" s="11"/>
      <c r="E46" s="12"/>
      <c r="F46" s="52"/>
      <c r="G46" s="53"/>
      <c r="H46" s="54"/>
      <c r="I46" s="11"/>
      <c r="J46" s="12"/>
      <c r="K46" s="52" t="s">
        <v>47</v>
      </c>
      <c r="L46" s="53"/>
      <c r="M46" s="54"/>
      <c r="N46" s="11"/>
      <c r="O46" s="12">
        <v>131400</v>
      </c>
      <c r="P46" s="52"/>
      <c r="Q46" s="53"/>
      <c r="R46" s="54"/>
      <c r="S46" s="11"/>
      <c r="T46" s="12"/>
    </row>
    <row r="47" spans="1:20" ht="15.75" thickBot="1" x14ac:dyDescent="0.3">
      <c r="A47" s="52"/>
      <c r="B47" s="53"/>
      <c r="C47" s="54"/>
      <c r="D47" s="11"/>
      <c r="E47" s="12"/>
      <c r="F47" s="52"/>
      <c r="G47" s="53"/>
      <c r="H47" s="54"/>
      <c r="I47" s="11"/>
      <c r="J47" s="12"/>
      <c r="K47" s="52" t="s">
        <v>100</v>
      </c>
      <c r="L47" s="53"/>
      <c r="M47" s="54"/>
      <c r="N47" s="11"/>
      <c r="O47" s="12">
        <v>145445</v>
      </c>
      <c r="P47" s="52"/>
      <c r="Q47" s="53"/>
      <c r="R47" s="54"/>
      <c r="S47" s="11"/>
      <c r="T47" s="12"/>
    </row>
    <row r="48" spans="1:20" ht="15.75" thickBot="1" x14ac:dyDescent="0.3">
      <c r="A48" s="52"/>
      <c r="B48" s="53"/>
      <c r="C48" s="54"/>
      <c r="D48" s="11"/>
      <c r="E48" s="12"/>
      <c r="F48" s="52"/>
      <c r="G48" s="53"/>
      <c r="H48" s="54"/>
      <c r="I48" s="11"/>
      <c r="J48" s="12"/>
      <c r="K48" s="52" t="s">
        <v>23</v>
      </c>
      <c r="L48" s="53"/>
      <c r="M48" s="54"/>
      <c r="N48" s="11"/>
      <c r="O48" s="12">
        <v>124500</v>
      </c>
      <c r="P48" s="52"/>
      <c r="Q48" s="53"/>
      <c r="R48" s="54"/>
      <c r="S48" s="11"/>
      <c r="T48" s="12"/>
    </row>
    <row r="49" spans="1:20" ht="15.75" thickBot="1" x14ac:dyDescent="0.3">
      <c r="A49" s="52"/>
      <c r="B49" s="53"/>
      <c r="C49" s="54"/>
      <c r="D49" s="11"/>
      <c r="E49" s="12"/>
      <c r="F49" s="52"/>
      <c r="G49" s="53"/>
      <c r="H49" s="54"/>
      <c r="I49" s="11"/>
      <c r="J49" s="12"/>
      <c r="K49" s="52" t="s">
        <v>48</v>
      </c>
      <c r="L49" s="53"/>
      <c r="M49" s="54"/>
      <c r="N49" s="11"/>
      <c r="O49" s="12">
        <v>48500</v>
      </c>
      <c r="P49" s="52"/>
      <c r="Q49" s="53"/>
      <c r="R49" s="54"/>
      <c r="S49" s="11"/>
      <c r="T49" s="12"/>
    </row>
    <row r="50" spans="1:20" ht="15.75" thickBot="1" x14ac:dyDescent="0.3">
      <c r="A50" s="52"/>
      <c r="B50" s="53"/>
      <c r="C50" s="54"/>
      <c r="D50" s="11"/>
      <c r="E50" s="12"/>
      <c r="F50" s="52"/>
      <c r="G50" s="53"/>
      <c r="H50" s="54"/>
      <c r="I50" s="11"/>
      <c r="J50" s="12"/>
      <c r="K50" s="52"/>
      <c r="L50" s="53"/>
      <c r="M50" s="54"/>
      <c r="N50" s="11"/>
      <c r="O50" s="12"/>
      <c r="P50" s="52"/>
      <c r="Q50" s="53"/>
      <c r="R50" s="54"/>
      <c r="S50" s="11"/>
      <c r="T50" s="12"/>
    </row>
    <row r="51" spans="1:20" ht="15.75" thickBot="1" x14ac:dyDescent="0.3">
      <c r="A51" s="52"/>
      <c r="B51" s="53"/>
      <c r="C51" s="54"/>
      <c r="D51" s="11"/>
      <c r="E51" s="12"/>
      <c r="F51" s="52"/>
      <c r="G51" s="53"/>
      <c r="H51" s="54"/>
      <c r="I51" s="11"/>
      <c r="J51" s="12"/>
      <c r="K51" s="52"/>
      <c r="L51" s="53"/>
      <c r="M51" s="54"/>
      <c r="N51" s="11"/>
      <c r="O51" s="12"/>
      <c r="P51" s="52"/>
      <c r="Q51" s="53"/>
      <c r="R51" s="54"/>
      <c r="S51" s="11"/>
      <c r="T51" s="12"/>
    </row>
    <row r="52" spans="1:20" ht="15.75" thickBot="1" x14ac:dyDescent="0.3">
      <c r="A52" s="67" t="s">
        <v>6</v>
      </c>
      <c r="B52" s="68"/>
      <c r="C52" s="69"/>
      <c r="D52" s="4">
        <f>SUM(D5:D51)</f>
        <v>0</v>
      </c>
      <c r="E52" s="3">
        <f>SUM(E5:E51)</f>
        <v>8200150</v>
      </c>
      <c r="F52" s="67" t="s">
        <v>6</v>
      </c>
      <c r="G52" s="68"/>
      <c r="H52" s="69"/>
      <c r="I52" s="4">
        <f>SUM(I5:I51)</f>
        <v>0</v>
      </c>
      <c r="J52" s="3">
        <f>SUM(J5:J51)</f>
        <v>1241800</v>
      </c>
      <c r="K52" s="67" t="s">
        <v>6</v>
      </c>
      <c r="L52" s="68"/>
      <c r="M52" s="69"/>
      <c r="N52" s="4">
        <f>SUM(N5:N51)</f>
        <v>0</v>
      </c>
      <c r="O52" s="3">
        <f>SUM(O5:O51)</f>
        <v>6070992</v>
      </c>
      <c r="P52" s="67" t="s">
        <v>6</v>
      </c>
      <c r="Q52" s="68"/>
      <c r="R52" s="69"/>
      <c r="S52" s="4">
        <f>SUM(S5:S51)</f>
        <v>0</v>
      </c>
      <c r="T52" s="3">
        <f>SUM(T5:T41)</f>
        <v>0</v>
      </c>
    </row>
    <row r="54" spans="1:20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</row>
    <row r="55" spans="1:20" ht="15.75" thickBot="1" x14ac:dyDescent="0.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20" ht="15.75" thickBot="1" x14ac:dyDescent="0.3">
      <c r="A56" s="59"/>
      <c r="B56" s="60"/>
      <c r="C56" s="59"/>
      <c r="D56" s="60"/>
      <c r="E56" s="27"/>
      <c r="F56" s="27"/>
      <c r="G56" s="27"/>
      <c r="H56" s="27"/>
      <c r="I56" s="27"/>
      <c r="J56" s="27"/>
      <c r="K56" s="27"/>
      <c r="L56" s="27"/>
      <c r="M56" s="27"/>
    </row>
    <row r="57" spans="1:20" ht="15.75" thickBot="1" x14ac:dyDescent="0.3">
      <c r="A57" s="61"/>
      <c r="B57" s="62"/>
      <c r="C57" s="59"/>
      <c r="D57" s="60"/>
      <c r="E57" s="27"/>
      <c r="F57" s="19"/>
      <c r="G57" s="19"/>
      <c r="H57" s="19"/>
      <c r="I57" s="19"/>
      <c r="J57" s="19"/>
      <c r="K57" s="19"/>
      <c r="L57" s="32"/>
      <c r="M57" s="32"/>
      <c r="N57" s="90"/>
    </row>
    <row r="58" spans="1:20" ht="15.75" thickBot="1" x14ac:dyDescent="0.3">
      <c r="A58" s="63"/>
      <c r="B58" s="64"/>
      <c r="C58" s="59"/>
      <c r="D58" s="60"/>
      <c r="E58" s="27"/>
      <c r="F58" s="19"/>
      <c r="G58" s="19"/>
      <c r="H58" s="19"/>
      <c r="I58" s="19"/>
      <c r="J58" s="19"/>
      <c r="K58" s="19"/>
      <c r="L58" s="32"/>
      <c r="M58" s="32"/>
      <c r="N58" s="91"/>
      <c r="O58" s="33"/>
      <c r="P58" s="77"/>
      <c r="Q58" s="78"/>
      <c r="R58" s="79"/>
    </row>
    <row r="59" spans="1:20" ht="15.75" thickBot="1" x14ac:dyDescent="0.3">
      <c r="A59" s="63"/>
      <c r="B59" s="64"/>
      <c r="C59" s="59"/>
      <c r="D59" s="60"/>
      <c r="E59" s="27"/>
      <c r="F59" s="19"/>
      <c r="G59" s="19"/>
      <c r="H59" s="19"/>
      <c r="I59" s="19"/>
      <c r="J59" s="19"/>
      <c r="K59" s="19"/>
      <c r="L59" s="32"/>
      <c r="M59" s="32"/>
      <c r="N59" s="91"/>
      <c r="P59" s="59"/>
      <c r="Q59" s="60"/>
      <c r="R59" s="27"/>
      <c r="S59" s="27"/>
      <c r="T59" s="27"/>
    </row>
    <row r="60" spans="1:20" ht="15.75" thickBot="1" x14ac:dyDescent="0.3">
      <c r="A60" s="63"/>
      <c r="B60" s="64"/>
      <c r="C60" s="59"/>
      <c r="D60" s="60"/>
      <c r="E60" s="27"/>
      <c r="F60" s="19"/>
      <c r="G60" s="19"/>
      <c r="H60" s="19"/>
      <c r="I60" s="19"/>
      <c r="J60" s="19"/>
      <c r="K60" s="19"/>
      <c r="L60" s="32"/>
      <c r="M60" s="32"/>
      <c r="N60" s="91"/>
      <c r="P60" s="59"/>
      <c r="Q60" s="60"/>
      <c r="R60" s="27"/>
      <c r="S60" s="27"/>
      <c r="T60" s="30"/>
    </row>
    <row r="61" spans="1:20" ht="15.75" thickBot="1" x14ac:dyDescent="0.3">
      <c r="A61" s="63"/>
      <c r="B61" s="64"/>
      <c r="C61" s="59"/>
      <c r="D61" s="60"/>
      <c r="E61" s="27"/>
      <c r="F61" s="19"/>
      <c r="G61" s="19"/>
      <c r="H61" s="19"/>
      <c r="I61" s="19"/>
      <c r="J61" s="19"/>
      <c r="K61" s="19"/>
      <c r="L61" s="32"/>
      <c r="M61" s="32"/>
      <c r="N61" s="91"/>
      <c r="P61" s="59"/>
      <c r="Q61" s="60"/>
      <c r="R61" s="27"/>
      <c r="S61" s="27"/>
      <c r="T61" s="30"/>
    </row>
    <row r="62" spans="1:20" ht="15.75" thickBot="1" x14ac:dyDescent="0.3">
      <c r="A62" s="65"/>
      <c r="B62" s="66"/>
      <c r="C62" s="59"/>
      <c r="D62" s="60"/>
      <c r="E62" s="27"/>
      <c r="F62" s="19"/>
      <c r="G62" s="19"/>
      <c r="H62" s="19"/>
      <c r="I62" s="19"/>
      <c r="J62" s="19"/>
      <c r="K62" s="19"/>
      <c r="L62" s="32"/>
      <c r="M62" s="32"/>
      <c r="N62" s="92"/>
      <c r="P62" s="59"/>
      <c r="Q62" s="60"/>
      <c r="R62" s="27"/>
      <c r="S62" s="27"/>
      <c r="T62" s="30"/>
    </row>
    <row r="63" spans="1:20" ht="15.75" thickBot="1" x14ac:dyDescent="0.3">
      <c r="A63" s="59"/>
      <c r="B63" s="60"/>
      <c r="C63" s="59"/>
      <c r="D63" s="60"/>
      <c r="E63" s="27"/>
      <c r="F63" s="27"/>
      <c r="G63" s="27"/>
      <c r="H63" s="27"/>
      <c r="I63" s="27"/>
      <c r="J63" s="27"/>
      <c r="K63" s="27"/>
      <c r="L63" s="27"/>
      <c r="M63" s="27"/>
      <c r="P63" s="59"/>
      <c r="Q63" s="60"/>
      <c r="R63" s="27"/>
      <c r="S63" s="27"/>
      <c r="T63" s="30"/>
    </row>
    <row r="64" spans="1:20" ht="15.75" thickBot="1" x14ac:dyDescent="0.3">
      <c r="A64" s="61"/>
      <c r="B64" s="62"/>
      <c r="C64" s="59"/>
      <c r="D64" s="60"/>
      <c r="E64" s="27"/>
      <c r="F64" s="19"/>
      <c r="G64" s="19"/>
      <c r="H64" s="19"/>
      <c r="I64" s="19"/>
      <c r="J64" s="19"/>
      <c r="K64" s="19"/>
      <c r="L64" s="32"/>
      <c r="M64" s="32"/>
      <c r="N64" s="90"/>
      <c r="P64" s="59"/>
      <c r="Q64" s="60"/>
      <c r="R64" s="27"/>
      <c r="S64" s="27"/>
      <c r="T64" s="30"/>
    </row>
    <row r="65" spans="1:20" ht="15.75" thickBot="1" x14ac:dyDescent="0.3">
      <c r="A65" s="63"/>
      <c r="B65" s="64"/>
      <c r="C65" s="59"/>
      <c r="D65" s="60"/>
      <c r="E65" s="27"/>
      <c r="F65" s="19"/>
      <c r="G65" s="19"/>
      <c r="H65" s="19"/>
      <c r="I65" s="19"/>
      <c r="J65" s="19"/>
      <c r="K65" s="19"/>
      <c r="L65" s="32"/>
      <c r="M65" s="32"/>
      <c r="N65" s="91"/>
      <c r="P65" s="59"/>
      <c r="Q65" s="60"/>
      <c r="R65" s="27"/>
      <c r="S65" s="27"/>
      <c r="T65" s="30"/>
    </row>
    <row r="66" spans="1:20" ht="15.75" thickBot="1" x14ac:dyDescent="0.3">
      <c r="A66" s="63"/>
      <c r="B66" s="64"/>
      <c r="C66" s="59"/>
      <c r="D66" s="60"/>
      <c r="E66" s="27"/>
      <c r="F66" s="19"/>
      <c r="G66" s="19"/>
      <c r="H66" s="19"/>
      <c r="I66" s="19"/>
      <c r="J66" s="19"/>
      <c r="K66" s="19"/>
      <c r="L66" s="32"/>
      <c r="M66" s="32"/>
      <c r="N66" s="91"/>
      <c r="O66" s="28"/>
      <c r="P66" s="34"/>
      <c r="Q66" s="35"/>
      <c r="R66" s="36"/>
      <c r="S66" s="29"/>
      <c r="T66" s="31"/>
    </row>
    <row r="67" spans="1:20" ht="15.75" thickBot="1" x14ac:dyDescent="0.3">
      <c r="A67" s="63"/>
      <c r="B67" s="64"/>
      <c r="C67" s="59"/>
      <c r="D67" s="60"/>
      <c r="E67" s="27"/>
      <c r="F67" s="19"/>
      <c r="G67" s="19"/>
      <c r="H67" s="19"/>
      <c r="I67" s="19"/>
      <c r="J67" s="19"/>
      <c r="K67" s="19"/>
      <c r="L67" s="32"/>
      <c r="M67" s="32"/>
      <c r="N67" s="91"/>
    </row>
    <row r="68" spans="1:20" ht="15.75" thickBot="1" x14ac:dyDescent="0.3">
      <c r="A68" s="63"/>
      <c r="B68" s="64"/>
      <c r="C68" s="59"/>
      <c r="D68" s="60"/>
      <c r="E68" s="27"/>
      <c r="F68" s="19"/>
      <c r="G68" s="19"/>
      <c r="H68" s="19"/>
      <c r="I68" s="19"/>
      <c r="J68" s="19"/>
      <c r="K68" s="19"/>
      <c r="L68" s="32"/>
      <c r="M68" s="32"/>
      <c r="N68" s="91"/>
    </row>
    <row r="69" spans="1:20" ht="15.75" thickBot="1" x14ac:dyDescent="0.3">
      <c r="A69" s="65"/>
      <c r="B69" s="66"/>
      <c r="C69" s="59"/>
      <c r="D69" s="60"/>
      <c r="E69" s="27"/>
      <c r="F69" s="19"/>
      <c r="G69" s="19"/>
      <c r="H69" s="19"/>
      <c r="I69" s="19"/>
      <c r="J69" s="19"/>
      <c r="K69" s="19"/>
      <c r="L69" s="32"/>
      <c r="M69" s="32"/>
      <c r="N69" s="92"/>
    </row>
    <row r="70" spans="1:20" ht="15.75" thickBot="1" x14ac:dyDescent="0.3"/>
    <row r="71" spans="1:20" ht="15.75" thickBot="1" x14ac:dyDescent="0.3">
      <c r="A71" s="59"/>
      <c r="B71" s="60"/>
      <c r="C71" s="59"/>
      <c r="D71" s="60"/>
      <c r="E71" s="27"/>
      <c r="F71" s="27"/>
      <c r="G71" s="27"/>
      <c r="H71" s="27"/>
      <c r="I71" s="27"/>
      <c r="J71" s="27"/>
      <c r="K71" s="27"/>
      <c r="L71" s="27"/>
      <c r="M71" s="27"/>
    </row>
    <row r="72" spans="1:20" ht="15.75" thickBot="1" x14ac:dyDescent="0.3">
      <c r="A72" s="61"/>
      <c r="B72" s="62"/>
      <c r="C72" s="59"/>
      <c r="D72" s="60"/>
      <c r="E72" s="27"/>
      <c r="F72" s="19"/>
      <c r="G72" s="19"/>
      <c r="H72" s="19"/>
      <c r="I72" s="19"/>
      <c r="J72" s="19"/>
      <c r="K72" s="19"/>
      <c r="L72" s="32"/>
      <c r="M72" s="32"/>
      <c r="N72" s="90"/>
    </row>
    <row r="73" spans="1:20" ht="15.75" thickBot="1" x14ac:dyDescent="0.3">
      <c r="A73" s="63"/>
      <c r="B73" s="64"/>
      <c r="C73" s="59"/>
      <c r="D73" s="60"/>
      <c r="E73" s="27"/>
      <c r="F73" s="19"/>
      <c r="G73" s="19"/>
      <c r="H73" s="19"/>
      <c r="I73" s="19"/>
      <c r="J73" s="19"/>
      <c r="K73" s="19"/>
      <c r="L73" s="32"/>
      <c r="M73" s="32"/>
      <c r="N73" s="91"/>
    </row>
    <row r="74" spans="1:20" ht="15.75" thickBot="1" x14ac:dyDescent="0.3">
      <c r="A74" s="63"/>
      <c r="B74" s="64"/>
      <c r="C74" s="59"/>
      <c r="D74" s="60"/>
      <c r="E74" s="27"/>
      <c r="F74" s="19"/>
      <c r="G74" s="19"/>
      <c r="H74" s="19"/>
      <c r="I74" s="19"/>
      <c r="J74" s="19"/>
      <c r="K74" s="19"/>
      <c r="L74" s="32"/>
      <c r="M74" s="32"/>
      <c r="N74" s="91"/>
    </row>
    <row r="75" spans="1:20" ht="15.75" thickBot="1" x14ac:dyDescent="0.3">
      <c r="A75" s="63"/>
      <c r="B75" s="64"/>
      <c r="C75" s="59"/>
      <c r="D75" s="60"/>
      <c r="E75" s="27"/>
      <c r="F75" s="19"/>
      <c r="G75" s="19"/>
      <c r="H75" s="19"/>
      <c r="I75" s="19"/>
      <c r="J75" s="19"/>
      <c r="K75" s="19"/>
      <c r="L75" s="32"/>
      <c r="M75" s="32"/>
      <c r="N75" s="91"/>
    </row>
    <row r="76" spans="1:20" ht="15.75" thickBot="1" x14ac:dyDescent="0.3">
      <c r="A76" s="63"/>
      <c r="B76" s="64"/>
      <c r="C76" s="59"/>
      <c r="D76" s="60"/>
      <c r="E76" s="27"/>
      <c r="F76" s="19"/>
      <c r="G76" s="19"/>
      <c r="H76" s="19"/>
      <c r="I76" s="19"/>
      <c r="J76" s="19"/>
      <c r="K76" s="19"/>
      <c r="L76" s="32"/>
      <c r="M76" s="32"/>
      <c r="N76" s="91"/>
    </row>
    <row r="77" spans="1:20" ht="15.75" thickBot="1" x14ac:dyDescent="0.3">
      <c r="A77" s="65"/>
      <c r="B77" s="66"/>
      <c r="C77" s="59"/>
      <c r="D77" s="60"/>
      <c r="E77" s="27"/>
      <c r="F77" s="19"/>
      <c r="G77" s="19"/>
      <c r="H77" s="19"/>
      <c r="I77" s="19"/>
      <c r="J77" s="19"/>
      <c r="K77" s="19"/>
      <c r="L77" s="32"/>
      <c r="M77" s="32"/>
      <c r="N77" s="92"/>
    </row>
  </sheetData>
  <mergeCells count="240">
    <mergeCell ref="C72:D72"/>
    <mergeCell ref="C73:D73"/>
    <mergeCell ref="C74:D74"/>
    <mergeCell ref="A54:M55"/>
    <mergeCell ref="C56:D56"/>
    <mergeCell ref="C57:D57"/>
    <mergeCell ref="C58:D58"/>
    <mergeCell ref="A71:B71"/>
    <mergeCell ref="A72:B77"/>
    <mergeCell ref="C61:D61"/>
    <mergeCell ref="C62:D62"/>
    <mergeCell ref="C63:D63"/>
    <mergeCell ref="P64:Q64"/>
    <mergeCell ref="P65:Q65"/>
    <mergeCell ref="C65:D65"/>
    <mergeCell ref="C66:D66"/>
    <mergeCell ref="A49:C49"/>
    <mergeCell ref="F49:H49"/>
    <mergeCell ref="K49:M49"/>
    <mergeCell ref="P49:R49"/>
    <mergeCell ref="A50:C50"/>
    <mergeCell ref="F50:H50"/>
    <mergeCell ref="K50:M50"/>
    <mergeCell ref="P50:R50"/>
    <mergeCell ref="A63:B63"/>
    <mergeCell ref="A64:B69"/>
    <mergeCell ref="P58:R58"/>
    <mergeCell ref="N57:N62"/>
    <mergeCell ref="N64:N69"/>
    <mergeCell ref="P52:R52"/>
    <mergeCell ref="C67:D67"/>
    <mergeCell ref="C68:D68"/>
    <mergeCell ref="C69:D69"/>
    <mergeCell ref="C64:D64"/>
    <mergeCell ref="C59:D59"/>
    <mergeCell ref="C60:D60"/>
    <mergeCell ref="N72:N77"/>
    <mergeCell ref="C75:D75"/>
    <mergeCell ref="C76:D76"/>
    <mergeCell ref="C77:D77"/>
    <mergeCell ref="C71:D71"/>
    <mergeCell ref="A3:E3"/>
    <mergeCell ref="A4:C4"/>
    <mergeCell ref="A5:C5"/>
    <mergeCell ref="A26:C26"/>
    <mergeCell ref="A27:C27"/>
    <mergeCell ref="A28:C28"/>
    <mergeCell ref="A29:C29"/>
    <mergeCell ref="A18:C18"/>
    <mergeCell ref="A19:C19"/>
    <mergeCell ref="A20:C20"/>
    <mergeCell ref="A21:C21"/>
    <mergeCell ref="A22:C22"/>
    <mergeCell ref="A23:C23"/>
    <mergeCell ref="A8:C8"/>
    <mergeCell ref="A16:C16"/>
    <mergeCell ref="A6:C6"/>
    <mergeCell ref="A7:C7"/>
    <mergeCell ref="F4:H4"/>
    <mergeCell ref="F5:H5"/>
    <mergeCell ref="F18:H18"/>
    <mergeCell ref="F19:H19"/>
    <mergeCell ref="F20:H20"/>
    <mergeCell ref="F21:H21"/>
    <mergeCell ref="F22:H22"/>
    <mergeCell ref="F23:H23"/>
    <mergeCell ref="A36:C36"/>
    <mergeCell ref="A24:C24"/>
    <mergeCell ref="A25:C25"/>
    <mergeCell ref="A37:C37"/>
    <mergeCell ref="A38:C38"/>
    <mergeCell ref="A39:C39"/>
    <mergeCell ref="A40:C40"/>
    <mergeCell ref="A41:C41"/>
    <mergeCell ref="A30:C30"/>
    <mergeCell ref="A31:C31"/>
    <mergeCell ref="A32:C32"/>
    <mergeCell ref="A33:C33"/>
    <mergeCell ref="A34:C34"/>
    <mergeCell ref="A35:C35"/>
    <mergeCell ref="K3:O3"/>
    <mergeCell ref="K4:M4"/>
    <mergeCell ref="K5:M5"/>
    <mergeCell ref="F40:H40"/>
    <mergeCell ref="F41:H41"/>
    <mergeCell ref="F30:H30"/>
    <mergeCell ref="F31:H31"/>
    <mergeCell ref="F32:H32"/>
    <mergeCell ref="F33:H33"/>
    <mergeCell ref="F34:H34"/>
    <mergeCell ref="F35:H35"/>
    <mergeCell ref="F24:H24"/>
    <mergeCell ref="F25:H25"/>
    <mergeCell ref="F26:H26"/>
    <mergeCell ref="F27:H27"/>
    <mergeCell ref="F28:H28"/>
    <mergeCell ref="F29:H29"/>
    <mergeCell ref="F3:J3"/>
    <mergeCell ref="F8:H8"/>
    <mergeCell ref="F16:H16"/>
    <mergeCell ref="F6:H6"/>
    <mergeCell ref="K6:M6"/>
    <mergeCell ref="F7:H7"/>
    <mergeCell ref="K7:M7"/>
    <mergeCell ref="K35:M35"/>
    <mergeCell ref="K36:M36"/>
    <mergeCell ref="K29:M29"/>
    <mergeCell ref="K30:M30"/>
    <mergeCell ref="K31:M31"/>
    <mergeCell ref="K32:M32"/>
    <mergeCell ref="K33:M33"/>
    <mergeCell ref="K34:M34"/>
    <mergeCell ref="K23:M23"/>
    <mergeCell ref="K24:M24"/>
    <mergeCell ref="K25:M25"/>
    <mergeCell ref="K26:M26"/>
    <mergeCell ref="K27:M27"/>
    <mergeCell ref="K28:M28"/>
    <mergeCell ref="K8:M8"/>
    <mergeCell ref="A9:C9"/>
    <mergeCell ref="F9:H9"/>
    <mergeCell ref="K9:M9"/>
    <mergeCell ref="K41:M41"/>
    <mergeCell ref="K51:M51"/>
    <mergeCell ref="K52:M52"/>
    <mergeCell ref="K37:M37"/>
    <mergeCell ref="K38:M38"/>
    <mergeCell ref="K39:M39"/>
    <mergeCell ref="K40:M40"/>
    <mergeCell ref="F51:H51"/>
    <mergeCell ref="F52:H52"/>
    <mergeCell ref="K18:M18"/>
    <mergeCell ref="K19:M19"/>
    <mergeCell ref="K20:M20"/>
    <mergeCell ref="K21:M21"/>
    <mergeCell ref="K22:M22"/>
    <mergeCell ref="F36:H36"/>
    <mergeCell ref="F37:H37"/>
    <mergeCell ref="F38:H38"/>
    <mergeCell ref="F39:H39"/>
    <mergeCell ref="A12:C12"/>
    <mergeCell ref="F12:H12"/>
    <mergeCell ref="K12:M12"/>
    <mergeCell ref="A13:C13"/>
    <mergeCell ref="F13:H13"/>
    <mergeCell ref="K13:M13"/>
    <mergeCell ref="A10:C10"/>
    <mergeCell ref="F10:H10"/>
    <mergeCell ref="K10:M10"/>
    <mergeCell ref="A11:C11"/>
    <mergeCell ref="F11:H11"/>
    <mergeCell ref="K11:M11"/>
    <mergeCell ref="K16:M16"/>
    <mergeCell ref="A17:C17"/>
    <mergeCell ref="F17:H17"/>
    <mergeCell ref="K17:M17"/>
    <mergeCell ref="A14:C14"/>
    <mergeCell ref="F14:H14"/>
    <mergeCell ref="K14:M14"/>
    <mergeCell ref="A15:C15"/>
    <mergeCell ref="F15:H15"/>
    <mergeCell ref="K15:M15"/>
    <mergeCell ref="P3:T3"/>
    <mergeCell ref="P4:R4"/>
    <mergeCell ref="P5:R5"/>
    <mergeCell ref="P6:R6"/>
    <mergeCell ref="P7:R7"/>
    <mergeCell ref="P8:R8"/>
    <mergeCell ref="P9:R9"/>
    <mergeCell ref="P10:R10"/>
    <mergeCell ref="P11:R11"/>
    <mergeCell ref="P28:R28"/>
    <mergeCell ref="P29:R29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63:Q63"/>
    <mergeCell ref="A52:C52"/>
    <mergeCell ref="F43:H43"/>
    <mergeCell ref="K43:M43"/>
    <mergeCell ref="F44:H44"/>
    <mergeCell ref="K44:M44"/>
    <mergeCell ref="A44:C44"/>
    <mergeCell ref="K45:M45"/>
    <mergeCell ref="P45:R45"/>
    <mergeCell ref="A43:C43"/>
    <mergeCell ref="A51:C51"/>
    <mergeCell ref="P44:R44"/>
    <mergeCell ref="A46:C46"/>
    <mergeCell ref="F46:H46"/>
    <mergeCell ref="K46:M46"/>
    <mergeCell ref="P46:R46"/>
    <mergeCell ref="A47:C47"/>
    <mergeCell ref="F47:H47"/>
    <mergeCell ref="K47:M47"/>
    <mergeCell ref="P47:R47"/>
    <mergeCell ref="A48:C48"/>
    <mergeCell ref="F48:H48"/>
    <mergeCell ref="K48:M48"/>
    <mergeCell ref="P48:R48"/>
    <mergeCell ref="A1:T2"/>
    <mergeCell ref="A56:B56"/>
    <mergeCell ref="A57:B62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21:R21"/>
    <mergeCell ref="P22:R22"/>
    <mergeCell ref="P23:R23"/>
    <mergeCell ref="P24:R24"/>
    <mergeCell ref="P25:R25"/>
    <mergeCell ref="P26:R26"/>
    <mergeCell ref="P39:R39"/>
    <mergeCell ref="P59:Q59"/>
    <mergeCell ref="P60:Q60"/>
    <mergeCell ref="P61:Q61"/>
    <mergeCell ref="P62:Q62"/>
    <mergeCell ref="P27:R27"/>
    <mergeCell ref="P40:R40"/>
    <mergeCell ref="P41:R41"/>
    <mergeCell ref="P51:R51"/>
    <mergeCell ref="A45:C45"/>
    <mergeCell ref="F45:H45"/>
    <mergeCell ref="A42:C42"/>
    <mergeCell ref="F42:H42"/>
    <mergeCell ref="K42:M42"/>
    <mergeCell ref="P42:R42"/>
    <mergeCell ref="P43:R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7"/>
  <sheetViews>
    <sheetView topLeftCell="A66" zoomScale="91" zoomScaleNormal="70" workbookViewId="0">
      <selection activeCell="I74" sqref="I74"/>
    </sheetView>
  </sheetViews>
  <sheetFormatPr baseColWidth="10" defaultRowHeight="15" x14ac:dyDescent="0.25"/>
  <cols>
    <col min="1" max="3" width="11.42578125" customWidth="1"/>
    <col min="4" max="4" width="12.42578125" bestFit="1" customWidth="1"/>
    <col min="5" max="5" width="17" bestFit="1" customWidth="1"/>
    <col min="6" max="8" width="11.42578125" customWidth="1"/>
    <col min="9" max="9" width="16.5703125" bestFit="1" customWidth="1"/>
    <col min="13" max="13" width="15.85546875" bestFit="1" customWidth="1"/>
  </cols>
  <sheetData>
    <row r="1" spans="1:10" x14ac:dyDescent="0.25">
      <c r="A1" s="116" t="s">
        <v>0</v>
      </c>
      <c r="B1" s="117"/>
      <c r="C1" s="117"/>
      <c r="D1" s="117"/>
      <c r="E1" s="117"/>
      <c r="F1" s="117"/>
      <c r="G1" s="117"/>
      <c r="H1" s="117"/>
      <c r="I1" s="117"/>
    </row>
    <row r="2" spans="1:10" ht="15.75" thickBot="1" x14ac:dyDescent="0.3">
      <c r="A2" s="118"/>
      <c r="B2" s="119"/>
      <c r="C2" s="119"/>
      <c r="D2" s="119"/>
      <c r="E2" s="119"/>
      <c r="F2" s="119"/>
      <c r="G2" s="119"/>
      <c r="H2" s="119"/>
      <c r="I2" s="119"/>
    </row>
    <row r="3" spans="1:10" ht="15.75" thickBot="1" x14ac:dyDescent="0.3">
      <c r="A3" s="93" t="s">
        <v>9</v>
      </c>
      <c r="B3" s="94"/>
      <c r="C3" s="94"/>
      <c r="D3" s="94"/>
      <c r="E3" s="94"/>
      <c r="F3" s="123" t="s">
        <v>11</v>
      </c>
      <c r="G3" s="124"/>
      <c r="H3" s="124"/>
      <c r="I3" s="125"/>
    </row>
    <row r="4" spans="1:10" ht="15.75" thickBot="1" x14ac:dyDescent="0.3">
      <c r="A4" s="96" t="s">
        <v>10</v>
      </c>
      <c r="B4" s="97"/>
      <c r="C4" s="98"/>
      <c r="D4" s="8" t="s">
        <v>4</v>
      </c>
      <c r="E4" s="7" t="s">
        <v>5</v>
      </c>
      <c r="F4" s="120" t="s">
        <v>1</v>
      </c>
      <c r="G4" s="121"/>
      <c r="H4" s="122"/>
      <c r="I4" s="17" t="s">
        <v>5</v>
      </c>
    </row>
    <row r="5" spans="1:10" ht="15.75" thickBot="1" x14ac:dyDescent="0.3">
      <c r="A5" s="104"/>
      <c r="B5" s="105"/>
      <c r="C5" s="106"/>
      <c r="D5" s="40"/>
      <c r="E5" s="41"/>
      <c r="F5" s="107" t="s">
        <v>38</v>
      </c>
      <c r="G5" s="108"/>
      <c r="H5" s="109"/>
      <c r="I5" s="18">
        <v>5165</v>
      </c>
      <c r="J5" s="45"/>
    </row>
    <row r="6" spans="1:10" ht="15.75" thickBot="1" x14ac:dyDescent="0.3">
      <c r="A6" s="104"/>
      <c r="B6" s="105"/>
      <c r="C6" s="106"/>
      <c r="D6" s="40"/>
      <c r="E6" s="41"/>
      <c r="F6" s="107" t="s">
        <v>31</v>
      </c>
      <c r="G6" s="108"/>
      <c r="H6" s="109"/>
      <c r="I6" s="39">
        <v>92800</v>
      </c>
      <c r="J6" s="45"/>
    </row>
    <row r="7" spans="1:10" ht="15.75" thickBot="1" x14ac:dyDescent="0.3">
      <c r="A7" s="104"/>
      <c r="B7" s="105"/>
      <c r="C7" s="106"/>
      <c r="D7" s="40"/>
      <c r="E7" s="41"/>
      <c r="F7" s="107" t="s">
        <v>52</v>
      </c>
      <c r="G7" s="108"/>
      <c r="H7" s="109"/>
      <c r="I7" s="39">
        <v>90000</v>
      </c>
      <c r="J7" s="45"/>
    </row>
    <row r="8" spans="1:10" ht="15.75" thickBot="1" x14ac:dyDescent="0.3">
      <c r="A8" s="104"/>
      <c r="B8" s="105"/>
      <c r="C8" s="106"/>
      <c r="D8" s="40"/>
      <c r="E8" s="41"/>
      <c r="F8" s="107" t="s">
        <v>37</v>
      </c>
      <c r="G8" s="108"/>
      <c r="H8" s="109"/>
      <c r="I8" s="39">
        <v>27000</v>
      </c>
      <c r="J8" s="45"/>
    </row>
    <row r="9" spans="1:10" ht="15.75" thickBot="1" x14ac:dyDescent="0.3">
      <c r="A9" s="104"/>
      <c r="B9" s="105"/>
      <c r="C9" s="106"/>
      <c r="D9" s="40"/>
      <c r="E9" s="41"/>
      <c r="F9" s="107" t="s">
        <v>53</v>
      </c>
      <c r="G9" s="108"/>
      <c r="H9" s="109"/>
      <c r="I9" s="39">
        <v>14143</v>
      </c>
      <c r="J9" s="45"/>
    </row>
    <row r="10" spans="1:10" ht="15.75" thickBot="1" x14ac:dyDescent="0.3">
      <c r="A10" s="104"/>
      <c r="B10" s="105"/>
      <c r="C10" s="106"/>
      <c r="D10" s="40"/>
      <c r="E10" s="41"/>
      <c r="F10" s="107" t="s">
        <v>38</v>
      </c>
      <c r="G10" s="108"/>
      <c r="H10" s="109"/>
      <c r="I10" s="39">
        <v>28838</v>
      </c>
      <c r="J10" s="45"/>
    </row>
    <row r="11" spans="1:10" ht="15.75" thickBot="1" x14ac:dyDescent="0.3">
      <c r="A11" s="107"/>
      <c r="B11" s="108"/>
      <c r="C11" s="109"/>
      <c r="D11" s="40"/>
      <c r="E11" s="39"/>
      <c r="F11" s="107" t="s">
        <v>42</v>
      </c>
      <c r="G11" s="108"/>
      <c r="H11" s="109"/>
      <c r="I11" s="39">
        <v>160000</v>
      </c>
      <c r="J11" s="45"/>
    </row>
    <row r="12" spans="1:10" ht="15.75" thickBot="1" x14ac:dyDescent="0.3">
      <c r="A12" s="107"/>
      <c r="B12" s="108"/>
      <c r="C12" s="109"/>
      <c r="D12" s="40"/>
      <c r="E12" s="41"/>
      <c r="F12" s="107" t="s">
        <v>54</v>
      </c>
      <c r="G12" s="108"/>
      <c r="H12" s="109"/>
      <c r="I12" s="39">
        <v>642000</v>
      </c>
      <c r="J12" s="45"/>
    </row>
    <row r="13" spans="1:10" ht="15.75" thickBot="1" x14ac:dyDescent="0.3">
      <c r="A13" s="107"/>
      <c r="B13" s="108"/>
      <c r="C13" s="109"/>
      <c r="D13" s="40"/>
      <c r="E13" s="41"/>
      <c r="F13" s="107" t="s">
        <v>39</v>
      </c>
      <c r="G13" s="108"/>
      <c r="H13" s="109"/>
      <c r="I13" s="39">
        <v>450000</v>
      </c>
      <c r="J13" s="45"/>
    </row>
    <row r="14" spans="1:10" ht="15.75" thickBot="1" x14ac:dyDescent="0.3">
      <c r="A14" s="107"/>
      <c r="B14" s="108"/>
      <c r="C14" s="109"/>
      <c r="D14" s="40"/>
      <c r="E14" s="41"/>
      <c r="F14" s="107" t="s">
        <v>32</v>
      </c>
      <c r="G14" s="108"/>
      <c r="H14" s="109"/>
      <c r="I14" s="39">
        <v>207636</v>
      </c>
      <c r="J14" s="45"/>
    </row>
    <row r="15" spans="1:10" ht="15.75" thickBot="1" x14ac:dyDescent="0.3">
      <c r="A15" s="107"/>
      <c r="B15" s="108"/>
      <c r="C15" s="109"/>
      <c r="D15" s="40"/>
      <c r="E15" s="41"/>
      <c r="F15" s="107" t="s">
        <v>26</v>
      </c>
      <c r="G15" s="108"/>
      <c r="H15" s="109"/>
      <c r="I15" s="39">
        <v>300000</v>
      </c>
      <c r="J15" s="45"/>
    </row>
    <row r="16" spans="1:10" ht="15.75" thickBot="1" x14ac:dyDescent="0.3">
      <c r="A16" s="107"/>
      <c r="B16" s="108"/>
      <c r="C16" s="109"/>
      <c r="D16" s="40"/>
      <c r="E16" s="41"/>
      <c r="F16" s="107" t="s">
        <v>55</v>
      </c>
      <c r="G16" s="108"/>
      <c r="H16" s="109"/>
      <c r="I16" s="39">
        <v>250000</v>
      </c>
      <c r="J16" s="45"/>
    </row>
    <row r="17" spans="1:13" ht="15.75" thickBot="1" x14ac:dyDescent="0.3">
      <c r="A17" s="107"/>
      <c r="B17" s="108"/>
      <c r="C17" s="109"/>
      <c r="D17" s="40"/>
      <c r="E17" s="41"/>
      <c r="F17" s="107" t="s">
        <v>43</v>
      </c>
      <c r="G17" s="108"/>
      <c r="H17" s="109"/>
      <c r="I17" s="39">
        <v>60000</v>
      </c>
      <c r="J17" s="45"/>
    </row>
    <row r="18" spans="1:13" ht="15.75" thickBot="1" x14ac:dyDescent="0.3">
      <c r="A18" s="107"/>
      <c r="B18" s="108"/>
      <c r="C18" s="109"/>
      <c r="D18" s="39"/>
      <c r="E18" s="39"/>
      <c r="F18" s="107" t="s">
        <v>56</v>
      </c>
      <c r="G18" s="108"/>
      <c r="H18" s="109"/>
      <c r="I18" s="41">
        <v>801000</v>
      </c>
      <c r="J18" s="45"/>
    </row>
    <row r="19" spans="1:13" ht="15.75" thickBot="1" x14ac:dyDescent="0.3">
      <c r="A19" s="107"/>
      <c r="B19" s="108"/>
      <c r="C19" s="109"/>
      <c r="D19" s="40"/>
      <c r="E19" s="41"/>
      <c r="F19" s="107" t="s">
        <v>27</v>
      </c>
      <c r="G19" s="108"/>
      <c r="H19" s="109"/>
      <c r="I19" s="39">
        <v>27408</v>
      </c>
      <c r="J19" s="45"/>
    </row>
    <row r="20" spans="1:13" ht="15.75" thickBot="1" x14ac:dyDescent="0.3">
      <c r="A20" s="110"/>
      <c r="B20" s="111"/>
      <c r="C20" s="112"/>
      <c r="D20" s="40"/>
      <c r="E20" s="39"/>
      <c r="F20" s="107" t="s">
        <v>38</v>
      </c>
      <c r="G20" s="108"/>
      <c r="H20" s="109"/>
      <c r="I20" s="39">
        <v>16693</v>
      </c>
      <c r="J20" s="45"/>
    </row>
    <row r="21" spans="1:13" ht="15.75" thickBot="1" x14ac:dyDescent="0.3">
      <c r="A21" s="107"/>
      <c r="B21" s="108"/>
      <c r="C21" s="109"/>
      <c r="D21" s="40"/>
      <c r="E21" s="42"/>
      <c r="F21" s="107" t="s">
        <v>45</v>
      </c>
      <c r="G21" s="108"/>
      <c r="H21" s="109"/>
      <c r="I21" s="39">
        <v>20000</v>
      </c>
      <c r="J21" s="45"/>
    </row>
    <row r="22" spans="1:13" ht="15.75" thickBot="1" x14ac:dyDescent="0.3">
      <c r="A22" s="107"/>
      <c r="B22" s="108"/>
      <c r="C22" s="109"/>
      <c r="D22" s="40"/>
      <c r="E22" s="41"/>
      <c r="F22" s="107" t="s">
        <v>38</v>
      </c>
      <c r="G22" s="108"/>
      <c r="H22" s="109"/>
      <c r="I22" s="39">
        <v>7876</v>
      </c>
      <c r="J22" s="45"/>
    </row>
    <row r="23" spans="1:13" ht="15.75" thickBot="1" x14ac:dyDescent="0.3">
      <c r="A23" s="104"/>
      <c r="B23" s="105"/>
      <c r="C23" s="106"/>
      <c r="D23" s="40"/>
      <c r="E23" s="41"/>
      <c r="F23" s="107" t="s">
        <v>27</v>
      </c>
      <c r="G23" s="108"/>
      <c r="H23" s="109"/>
      <c r="I23" s="1">
        <v>25739</v>
      </c>
      <c r="J23" s="45"/>
    </row>
    <row r="24" spans="1:13" ht="15.75" thickBot="1" x14ac:dyDescent="0.3">
      <c r="A24" s="104"/>
      <c r="B24" s="105"/>
      <c r="C24" s="106"/>
      <c r="D24" s="40"/>
      <c r="E24" s="41"/>
      <c r="F24" s="107" t="s">
        <v>25</v>
      </c>
      <c r="G24" s="108"/>
      <c r="H24" s="109"/>
      <c r="I24" s="42">
        <v>28132</v>
      </c>
      <c r="J24" s="45"/>
    </row>
    <row r="25" spans="1:13" ht="15.75" thickBot="1" x14ac:dyDescent="0.3">
      <c r="A25" s="104"/>
      <c r="B25" s="105"/>
      <c r="C25" s="106"/>
      <c r="D25" s="40"/>
      <c r="E25" s="41"/>
      <c r="F25" s="107" t="s">
        <v>35</v>
      </c>
      <c r="G25" s="108"/>
      <c r="H25" s="109"/>
      <c r="I25" s="1">
        <v>94889</v>
      </c>
      <c r="J25" s="45"/>
      <c r="K25" s="45"/>
      <c r="L25" s="45"/>
      <c r="M25" s="45"/>
    </row>
    <row r="26" spans="1:13" ht="15.75" thickBot="1" x14ac:dyDescent="0.3">
      <c r="A26" s="104"/>
      <c r="B26" s="105"/>
      <c r="C26" s="106"/>
      <c r="D26" s="40"/>
      <c r="E26" s="41"/>
      <c r="F26" s="107" t="s">
        <v>33</v>
      </c>
      <c r="G26" s="108"/>
      <c r="H26" s="109"/>
      <c r="I26" s="1">
        <v>32500</v>
      </c>
      <c r="J26" s="45"/>
      <c r="K26" s="45"/>
      <c r="L26" s="45"/>
      <c r="M26" s="45"/>
    </row>
    <row r="27" spans="1:13" ht="15.75" thickBot="1" x14ac:dyDescent="0.3">
      <c r="A27" s="104"/>
      <c r="B27" s="105"/>
      <c r="C27" s="106"/>
      <c r="D27" s="40"/>
      <c r="E27" s="41"/>
      <c r="F27" s="107" t="s">
        <v>57</v>
      </c>
      <c r="G27" s="108"/>
      <c r="H27" s="109"/>
      <c r="I27" s="1">
        <v>36000</v>
      </c>
      <c r="J27" s="45"/>
      <c r="K27" s="45"/>
      <c r="L27" s="45"/>
      <c r="M27" s="45"/>
    </row>
    <row r="28" spans="1:13" ht="15.75" thickBot="1" x14ac:dyDescent="0.3">
      <c r="A28" s="104"/>
      <c r="B28" s="105"/>
      <c r="C28" s="106"/>
      <c r="D28" s="40"/>
      <c r="E28" s="41"/>
      <c r="F28" s="107" t="s">
        <v>35</v>
      </c>
      <c r="G28" s="108"/>
      <c r="H28" s="109"/>
      <c r="I28" s="1">
        <v>12580</v>
      </c>
      <c r="J28" s="45"/>
      <c r="K28" s="45"/>
      <c r="L28" s="45"/>
      <c r="M28" s="45"/>
    </row>
    <row r="29" spans="1:13" ht="15.75" thickBot="1" x14ac:dyDescent="0.3">
      <c r="A29" s="104"/>
      <c r="B29" s="105"/>
      <c r="C29" s="106"/>
      <c r="D29" s="40"/>
      <c r="E29" s="41"/>
      <c r="F29" s="107" t="s">
        <v>41</v>
      </c>
      <c r="G29" s="108"/>
      <c r="H29" s="109"/>
      <c r="I29" s="1">
        <v>35100</v>
      </c>
      <c r="J29" s="45"/>
      <c r="K29" s="45"/>
      <c r="L29" s="45"/>
      <c r="M29" s="45"/>
    </row>
    <row r="30" spans="1:13" ht="15.75" thickBot="1" x14ac:dyDescent="0.3">
      <c r="A30" s="104"/>
      <c r="B30" s="105"/>
      <c r="C30" s="106"/>
      <c r="D30" s="40"/>
      <c r="E30" s="41"/>
      <c r="F30" s="107" t="s">
        <v>58</v>
      </c>
      <c r="G30" s="108"/>
      <c r="H30" s="109"/>
      <c r="I30" s="1">
        <v>61078</v>
      </c>
      <c r="J30" s="45"/>
      <c r="K30" s="45"/>
      <c r="L30" s="45"/>
      <c r="M30" s="45"/>
    </row>
    <row r="31" spans="1:13" ht="15.75" thickBot="1" x14ac:dyDescent="0.3">
      <c r="A31" s="104"/>
      <c r="B31" s="105"/>
      <c r="C31" s="106"/>
      <c r="D31" s="40"/>
      <c r="E31" s="41"/>
      <c r="F31" s="107" t="s">
        <v>33</v>
      </c>
      <c r="G31" s="108"/>
      <c r="H31" s="109"/>
      <c r="I31" s="1">
        <v>49128</v>
      </c>
      <c r="J31" s="45"/>
      <c r="K31" s="45"/>
      <c r="L31" s="45"/>
      <c r="M31" s="45"/>
    </row>
    <row r="32" spans="1:13" ht="15.75" thickBot="1" x14ac:dyDescent="0.3">
      <c r="A32" s="104"/>
      <c r="B32" s="105"/>
      <c r="C32" s="106"/>
      <c r="D32" s="40"/>
      <c r="E32" s="41"/>
      <c r="F32" s="107" t="s">
        <v>56</v>
      </c>
      <c r="G32" s="108"/>
      <c r="H32" s="109"/>
      <c r="I32" s="1">
        <v>800000</v>
      </c>
      <c r="J32" s="45"/>
      <c r="K32" s="45"/>
      <c r="L32" s="45"/>
      <c r="M32" s="45"/>
    </row>
    <row r="33" spans="1:13" ht="15.75" thickBot="1" x14ac:dyDescent="0.3">
      <c r="A33" s="104"/>
      <c r="B33" s="105"/>
      <c r="C33" s="106"/>
      <c r="D33" s="40"/>
      <c r="E33" s="41"/>
      <c r="F33" s="107" t="s">
        <v>59</v>
      </c>
      <c r="G33" s="108"/>
      <c r="H33" s="109"/>
      <c r="I33" s="1">
        <v>157406</v>
      </c>
      <c r="J33" s="45"/>
      <c r="K33" s="45"/>
      <c r="L33" s="45"/>
      <c r="M33" s="45"/>
    </row>
    <row r="34" spans="1:13" ht="15.75" thickBot="1" x14ac:dyDescent="0.3">
      <c r="A34" s="104"/>
      <c r="B34" s="105"/>
      <c r="C34" s="106"/>
      <c r="D34" s="40"/>
      <c r="E34" s="41"/>
      <c r="F34" s="107" t="s">
        <v>45</v>
      </c>
      <c r="G34" s="108"/>
      <c r="H34" s="109"/>
      <c r="I34" s="1">
        <v>60000</v>
      </c>
      <c r="J34" s="45"/>
      <c r="K34" s="45"/>
      <c r="L34" s="45"/>
      <c r="M34" s="45"/>
    </row>
    <row r="35" spans="1:13" ht="15.75" thickBot="1" x14ac:dyDescent="0.3">
      <c r="A35" s="104"/>
      <c r="B35" s="105"/>
      <c r="C35" s="106"/>
      <c r="D35" s="40"/>
      <c r="E35" s="41"/>
      <c r="F35" s="107" t="s">
        <v>35</v>
      </c>
      <c r="G35" s="108"/>
      <c r="H35" s="109"/>
      <c r="I35" s="1">
        <v>13000</v>
      </c>
      <c r="J35" s="45"/>
      <c r="K35" s="45"/>
      <c r="L35" s="45"/>
      <c r="M35" s="45"/>
    </row>
    <row r="36" spans="1:13" ht="15.75" thickBot="1" x14ac:dyDescent="0.3">
      <c r="A36" s="104"/>
      <c r="B36" s="105"/>
      <c r="C36" s="106"/>
      <c r="D36" s="40"/>
      <c r="E36" s="41"/>
      <c r="F36" s="107" t="s">
        <v>44</v>
      </c>
      <c r="G36" s="108"/>
      <c r="H36" s="109"/>
      <c r="I36" s="1">
        <v>370000</v>
      </c>
      <c r="J36" s="45"/>
      <c r="K36" s="45"/>
      <c r="L36" s="45"/>
      <c r="M36" s="45"/>
    </row>
    <row r="37" spans="1:13" ht="15.75" thickBot="1" x14ac:dyDescent="0.3">
      <c r="A37" s="104"/>
      <c r="B37" s="105"/>
      <c r="C37" s="106"/>
      <c r="D37" s="40"/>
      <c r="E37" s="41"/>
      <c r="F37" s="107" t="s">
        <v>60</v>
      </c>
      <c r="G37" s="108"/>
      <c r="H37" s="109"/>
      <c r="I37" s="1">
        <v>977940</v>
      </c>
      <c r="J37" s="45"/>
      <c r="K37" s="45"/>
      <c r="L37" s="45"/>
      <c r="M37" s="45"/>
    </row>
    <row r="38" spans="1:13" ht="15.75" thickBot="1" x14ac:dyDescent="0.3">
      <c r="A38" s="104"/>
      <c r="B38" s="105"/>
      <c r="C38" s="106"/>
      <c r="D38" s="40"/>
      <c r="E38" s="41"/>
      <c r="F38" s="107" t="s">
        <v>61</v>
      </c>
      <c r="G38" s="108"/>
      <c r="H38" s="109"/>
      <c r="I38" s="1">
        <v>204000</v>
      </c>
      <c r="J38" s="45"/>
      <c r="K38" s="45"/>
      <c r="L38" s="45"/>
      <c r="M38" s="45"/>
    </row>
    <row r="39" spans="1:13" ht="15.75" thickBot="1" x14ac:dyDescent="0.3">
      <c r="A39" s="104"/>
      <c r="B39" s="105"/>
      <c r="C39" s="106"/>
      <c r="D39" s="40"/>
      <c r="E39" s="41"/>
      <c r="F39" s="107" t="s">
        <v>62</v>
      </c>
      <c r="G39" s="108"/>
      <c r="H39" s="109"/>
      <c r="I39" s="1">
        <v>71014</v>
      </c>
      <c r="J39" s="45"/>
      <c r="K39" s="45"/>
      <c r="L39" s="45"/>
      <c r="M39" s="45"/>
    </row>
    <row r="40" spans="1:13" ht="15.75" thickBot="1" x14ac:dyDescent="0.3">
      <c r="A40" s="104"/>
      <c r="B40" s="105"/>
      <c r="C40" s="106"/>
      <c r="D40" s="40"/>
      <c r="E40" s="41"/>
      <c r="F40" s="107" t="s">
        <v>60</v>
      </c>
      <c r="G40" s="108"/>
      <c r="H40" s="109"/>
      <c r="I40" s="1">
        <v>300000</v>
      </c>
      <c r="J40" s="45"/>
      <c r="K40" s="45"/>
      <c r="L40" s="45"/>
      <c r="M40" s="1"/>
    </row>
    <row r="41" spans="1:13" ht="15.75" thickBot="1" x14ac:dyDescent="0.3">
      <c r="A41" s="104"/>
      <c r="B41" s="105"/>
      <c r="C41" s="106"/>
      <c r="D41" s="40"/>
      <c r="E41" s="41"/>
      <c r="F41" s="107" t="s">
        <v>40</v>
      </c>
      <c r="G41" s="108"/>
      <c r="H41" s="109"/>
      <c r="I41" s="1">
        <v>76610</v>
      </c>
      <c r="J41" s="45"/>
      <c r="K41" s="45"/>
      <c r="L41" s="45"/>
      <c r="M41" s="45"/>
    </row>
    <row r="42" spans="1:13" ht="15.75" thickBot="1" x14ac:dyDescent="0.3">
      <c r="A42" s="104"/>
      <c r="B42" s="105"/>
      <c r="C42" s="106"/>
      <c r="D42" s="40"/>
      <c r="E42" s="41"/>
      <c r="F42" s="107" t="s">
        <v>63</v>
      </c>
      <c r="G42" s="108"/>
      <c r="H42" s="109"/>
      <c r="I42" s="1">
        <v>132000</v>
      </c>
      <c r="J42" s="45"/>
      <c r="K42" s="45"/>
      <c r="L42" s="45"/>
      <c r="M42" s="45"/>
    </row>
    <row r="43" spans="1:13" ht="15.75" thickBot="1" x14ac:dyDescent="0.3">
      <c r="A43" s="104"/>
      <c r="B43" s="105"/>
      <c r="C43" s="106"/>
      <c r="D43" s="40"/>
      <c r="E43" s="41"/>
      <c r="F43" s="107" t="s">
        <v>40</v>
      </c>
      <c r="G43" s="108"/>
      <c r="H43" s="109"/>
      <c r="I43" s="1">
        <v>14700</v>
      </c>
      <c r="J43" s="45"/>
      <c r="K43" s="45"/>
      <c r="L43" s="45"/>
      <c r="M43" s="45"/>
    </row>
    <row r="44" spans="1:13" ht="15.75" thickBot="1" x14ac:dyDescent="0.3">
      <c r="A44" s="104"/>
      <c r="B44" s="105"/>
      <c r="C44" s="106"/>
      <c r="D44" s="40"/>
      <c r="E44" s="41"/>
      <c r="F44" s="107" t="s">
        <v>64</v>
      </c>
      <c r="G44" s="108"/>
      <c r="H44" s="109"/>
      <c r="I44" s="1">
        <v>10000</v>
      </c>
      <c r="J44" s="45"/>
      <c r="K44" s="45"/>
      <c r="L44" s="45"/>
      <c r="M44" s="45"/>
    </row>
    <row r="45" spans="1:13" ht="15.75" thickBot="1" x14ac:dyDescent="0.3">
      <c r="A45" s="104"/>
      <c r="B45" s="105"/>
      <c r="C45" s="106"/>
      <c r="D45" s="40"/>
      <c r="E45" s="41"/>
      <c r="F45" s="107" t="s">
        <v>31</v>
      </c>
      <c r="G45" s="108"/>
      <c r="H45" s="109"/>
      <c r="I45" s="1">
        <v>25200</v>
      </c>
      <c r="J45" s="45"/>
      <c r="K45" s="45"/>
      <c r="L45" s="45"/>
      <c r="M45" s="45"/>
    </row>
    <row r="46" spans="1:13" ht="15.75" thickBot="1" x14ac:dyDescent="0.3">
      <c r="A46" s="104"/>
      <c r="B46" s="105"/>
      <c r="C46" s="106"/>
      <c r="D46" s="40"/>
      <c r="E46" s="41"/>
      <c r="F46" s="107" t="s">
        <v>58</v>
      </c>
      <c r="G46" s="108"/>
      <c r="H46" s="109"/>
      <c r="I46" s="1">
        <v>35208</v>
      </c>
      <c r="J46" s="45"/>
      <c r="K46" s="45"/>
      <c r="L46" s="45"/>
      <c r="M46" s="45"/>
    </row>
    <row r="47" spans="1:13" ht="15.75" thickBot="1" x14ac:dyDescent="0.3">
      <c r="A47" s="104"/>
      <c r="B47" s="105"/>
      <c r="C47" s="106"/>
      <c r="D47" s="40"/>
      <c r="E47" s="41"/>
      <c r="F47" s="107" t="s">
        <v>32</v>
      </c>
      <c r="G47" s="108"/>
      <c r="H47" s="109"/>
      <c r="I47" s="39">
        <v>160968</v>
      </c>
      <c r="J47" s="45"/>
      <c r="K47" s="45"/>
      <c r="L47" s="45"/>
      <c r="M47" s="45"/>
    </row>
    <row r="48" spans="1:13" ht="15.75" thickBot="1" x14ac:dyDescent="0.3">
      <c r="A48" s="104"/>
      <c r="B48" s="105"/>
      <c r="C48" s="106"/>
      <c r="D48" s="40"/>
      <c r="E48" s="41"/>
      <c r="F48" s="107" t="s">
        <v>37</v>
      </c>
      <c r="G48" s="108"/>
      <c r="H48" s="109"/>
      <c r="I48" s="39">
        <v>29000</v>
      </c>
      <c r="J48" s="45"/>
      <c r="K48" s="45"/>
      <c r="L48" s="45"/>
      <c r="M48" s="45"/>
    </row>
    <row r="49" spans="1:13" ht="15.75" thickBot="1" x14ac:dyDescent="0.3">
      <c r="A49" s="104"/>
      <c r="B49" s="105"/>
      <c r="C49" s="106"/>
      <c r="D49" s="40"/>
      <c r="E49" s="41"/>
      <c r="F49" s="107" t="s">
        <v>38</v>
      </c>
      <c r="G49" s="108"/>
      <c r="H49" s="109"/>
      <c r="I49" s="39">
        <v>17320</v>
      </c>
      <c r="J49" s="45"/>
      <c r="K49" s="45"/>
      <c r="L49" s="45"/>
      <c r="M49" s="45"/>
    </row>
    <row r="50" spans="1:13" ht="15.75" thickBot="1" x14ac:dyDescent="0.3">
      <c r="A50" s="104"/>
      <c r="B50" s="105"/>
      <c r="C50" s="106"/>
      <c r="D50" s="40"/>
      <c r="E50" s="41"/>
      <c r="F50" s="107" t="s">
        <v>30</v>
      </c>
      <c r="G50" s="108"/>
      <c r="H50" s="109"/>
      <c r="I50" s="39">
        <v>37000</v>
      </c>
      <c r="J50" s="45"/>
      <c r="K50" s="45"/>
      <c r="L50" s="45"/>
      <c r="M50" s="45"/>
    </row>
    <row r="51" spans="1:13" ht="15.75" thickBot="1" x14ac:dyDescent="0.3">
      <c r="A51" s="104"/>
      <c r="B51" s="105"/>
      <c r="C51" s="106"/>
      <c r="D51" s="40"/>
      <c r="E51" s="41"/>
      <c r="F51" s="107" t="s">
        <v>65</v>
      </c>
      <c r="G51" s="108"/>
      <c r="H51" s="109"/>
      <c r="I51" s="39">
        <v>77000</v>
      </c>
      <c r="J51" s="45"/>
      <c r="K51" s="45"/>
      <c r="L51" s="45"/>
      <c r="M51" s="45"/>
    </row>
    <row r="52" spans="1:13" ht="15.75" thickBot="1" x14ac:dyDescent="0.3">
      <c r="A52" s="104"/>
      <c r="B52" s="105"/>
      <c r="C52" s="106"/>
      <c r="D52" s="40"/>
      <c r="E52" s="41"/>
      <c r="F52" s="107" t="s">
        <v>27</v>
      </c>
      <c r="G52" s="108"/>
      <c r="H52" s="109"/>
      <c r="I52" s="39">
        <v>25740</v>
      </c>
      <c r="J52" s="45"/>
      <c r="K52" s="45"/>
      <c r="L52" s="45"/>
      <c r="M52" s="45"/>
    </row>
    <row r="53" spans="1:13" ht="15.75" thickBot="1" x14ac:dyDescent="0.3">
      <c r="A53" s="104"/>
      <c r="B53" s="105"/>
      <c r="C53" s="106"/>
      <c r="D53" s="40"/>
      <c r="E53" s="41"/>
      <c r="F53" s="110" t="s">
        <v>58</v>
      </c>
      <c r="G53" s="111"/>
      <c r="H53" s="112"/>
      <c r="I53" s="39">
        <v>46175</v>
      </c>
      <c r="J53" s="45"/>
      <c r="K53" s="45"/>
      <c r="L53" s="45"/>
      <c r="M53" s="45"/>
    </row>
    <row r="54" spans="1:13" ht="15.75" thickBot="1" x14ac:dyDescent="0.3">
      <c r="A54" s="104"/>
      <c r="B54" s="105"/>
      <c r="C54" s="106"/>
      <c r="D54" s="40"/>
      <c r="E54" s="41"/>
      <c r="F54" s="110" t="s">
        <v>44</v>
      </c>
      <c r="G54" s="111"/>
      <c r="H54" s="112"/>
      <c r="I54" s="39">
        <v>300000</v>
      </c>
      <c r="J54" s="45"/>
      <c r="K54" s="45"/>
      <c r="L54" s="45"/>
      <c r="M54" s="45"/>
    </row>
    <row r="55" spans="1:13" ht="15.75" thickBot="1" x14ac:dyDescent="0.3">
      <c r="A55" s="104"/>
      <c r="B55" s="105"/>
      <c r="C55" s="106"/>
      <c r="D55" s="40"/>
      <c r="E55" s="41"/>
      <c r="F55" s="110" t="s">
        <v>33</v>
      </c>
      <c r="G55" s="111"/>
      <c r="H55" s="112"/>
      <c r="I55" s="39">
        <v>62150</v>
      </c>
      <c r="J55" s="45"/>
    </row>
    <row r="56" spans="1:13" ht="15.75" thickBot="1" x14ac:dyDescent="0.3">
      <c r="A56" s="104"/>
      <c r="B56" s="105"/>
      <c r="C56" s="106"/>
      <c r="D56" s="40"/>
      <c r="E56" s="41"/>
      <c r="F56" s="110" t="s">
        <v>56</v>
      </c>
      <c r="G56" s="111"/>
      <c r="H56" s="112"/>
      <c r="I56" s="39">
        <v>1505850</v>
      </c>
      <c r="J56" s="45"/>
    </row>
    <row r="57" spans="1:13" ht="15.75" thickBot="1" x14ac:dyDescent="0.3">
      <c r="A57" s="104"/>
      <c r="B57" s="105"/>
      <c r="C57" s="106"/>
      <c r="D57" s="40"/>
      <c r="E57" s="41"/>
      <c r="F57" s="110" t="s">
        <v>45</v>
      </c>
      <c r="G57" s="111"/>
      <c r="H57" s="112"/>
      <c r="I57" s="39">
        <v>80000</v>
      </c>
      <c r="J57" s="45"/>
    </row>
    <row r="58" spans="1:13" ht="15.75" thickBot="1" x14ac:dyDescent="0.3">
      <c r="A58" s="104"/>
      <c r="B58" s="105"/>
      <c r="C58" s="106"/>
      <c r="D58" s="40"/>
      <c r="E58" s="41"/>
      <c r="F58" s="110" t="s">
        <v>28</v>
      </c>
      <c r="G58" s="111"/>
      <c r="H58" s="112"/>
      <c r="I58" s="39">
        <v>80000</v>
      </c>
      <c r="J58" s="45"/>
    </row>
    <row r="59" spans="1:13" ht="15.75" thickBot="1" x14ac:dyDescent="0.3">
      <c r="A59" s="104"/>
      <c r="B59" s="105"/>
      <c r="C59" s="106"/>
      <c r="D59" s="40"/>
      <c r="E59" s="41"/>
      <c r="F59" s="110" t="s">
        <v>35</v>
      </c>
      <c r="G59" s="111"/>
      <c r="H59" s="112"/>
      <c r="I59" s="39">
        <v>54474</v>
      </c>
      <c r="J59" s="45"/>
    </row>
    <row r="60" spans="1:13" ht="15.75" thickBot="1" x14ac:dyDescent="0.3">
      <c r="A60" s="104"/>
      <c r="B60" s="105"/>
      <c r="C60" s="106"/>
      <c r="D60" s="40"/>
      <c r="E60" s="41"/>
      <c r="F60" s="110" t="s">
        <v>42</v>
      </c>
      <c r="G60" s="111"/>
      <c r="H60" s="112"/>
      <c r="I60" s="39">
        <v>160000</v>
      </c>
      <c r="J60" s="45"/>
    </row>
    <row r="61" spans="1:13" ht="15.75" thickBot="1" x14ac:dyDescent="0.3">
      <c r="A61" s="48"/>
      <c r="B61" s="49"/>
      <c r="C61" s="50"/>
      <c r="D61" s="40"/>
      <c r="E61" s="41"/>
      <c r="F61" s="110" t="s">
        <v>36</v>
      </c>
      <c r="G61" s="111"/>
      <c r="H61" s="112"/>
      <c r="I61" s="39">
        <v>28000</v>
      </c>
      <c r="J61" s="45"/>
    </row>
    <row r="62" spans="1:13" ht="15.75" thickBot="1" x14ac:dyDescent="0.3">
      <c r="A62" s="48"/>
      <c r="B62" s="49"/>
      <c r="C62" s="50"/>
      <c r="D62" s="40"/>
      <c r="E62" s="41"/>
      <c r="F62" s="110" t="s">
        <v>66</v>
      </c>
      <c r="G62" s="111"/>
      <c r="H62" s="112"/>
      <c r="I62" s="39">
        <v>204400</v>
      </c>
      <c r="J62" s="45"/>
    </row>
    <row r="63" spans="1:13" ht="15.75" thickBot="1" x14ac:dyDescent="0.3">
      <c r="A63" s="48"/>
      <c r="B63" s="49"/>
      <c r="C63" s="50"/>
      <c r="D63" s="40"/>
      <c r="E63" s="41"/>
      <c r="F63" s="110" t="s">
        <v>33</v>
      </c>
      <c r="G63" s="111"/>
      <c r="H63" s="112"/>
      <c r="I63" s="39">
        <v>59000</v>
      </c>
      <c r="J63" s="45"/>
    </row>
    <row r="64" spans="1:13" ht="15.75" thickBot="1" x14ac:dyDescent="0.3">
      <c r="A64" s="48"/>
      <c r="B64" s="49"/>
      <c r="C64" s="50"/>
      <c r="D64" s="40"/>
      <c r="E64" s="41"/>
      <c r="F64" s="110" t="s">
        <v>40</v>
      </c>
      <c r="G64" s="111"/>
      <c r="H64" s="112"/>
      <c r="I64" s="39">
        <v>5165</v>
      </c>
      <c r="J64" s="45"/>
    </row>
    <row r="65" spans="1:16384" ht="15.75" thickBot="1" x14ac:dyDescent="0.3">
      <c r="A65" s="104"/>
      <c r="B65" s="105"/>
      <c r="C65" s="106"/>
      <c r="D65" s="40"/>
      <c r="E65" s="41"/>
      <c r="F65" s="110" t="s">
        <v>29</v>
      </c>
      <c r="G65" s="111"/>
      <c r="H65" s="112"/>
      <c r="I65" s="39">
        <v>153320</v>
      </c>
      <c r="J65" s="45"/>
    </row>
    <row r="66" spans="1:16384" ht="15.75" thickBot="1" x14ac:dyDescent="0.3">
      <c r="A66" s="104"/>
      <c r="B66" s="105"/>
      <c r="C66" s="106"/>
      <c r="D66" s="40"/>
      <c r="E66" s="41"/>
      <c r="F66" s="110" t="s">
        <v>35</v>
      </c>
      <c r="G66" s="111"/>
      <c r="H66" s="112"/>
      <c r="I66" s="39">
        <v>23006</v>
      </c>
      <c r="J66" s="45"/>
    </row>
    <row r="67" spans="1:16384" ht="15.75" thickBot="1" x14ac:dyDescent="0.3">
      <c r="A67" s="104"/>
      <c r="B67" s="105"/>
      <c r="C67" s="106"/>
      <c r="D67" s="40"/>
      <c r="E67" s="41"/>
      <c r="F67" s="110" t="s">
        <v>67</v>
      </c>
      <c r="G67" s="111"/>
      <c r="H67" s="112"/>
      <c r="I67" s="39">
        <v>30000</v>
      </c>
      <c r="J67" s="45"/>
    </row>
    <row r="68" spans="1:16384" ht="15.75" thickBot="1" x14ac:dyDescent="0.3">
      <c r="A68" s="104"/>
      <c r="B68" s="105"/>
      <c r="C68" s="106"/>
      <c r="D68" s="40"/>
      <c r="E68" s="41"/>
      <c r="F68" s="110" t="s">
        <v>56</v>
      </c>
      <c r="G68" s="111"/>
      <c r="H68" s="112"/>
      <c r="I68" s="39">
        <v>1497890</v>
      </c>
      <c r="J68" s="45"/>
    </row>
    <row r="69" spans="1:16384" ht="15.75" thickBot="1" x14ac:dyDescent="0.3">
      <c r="A69" s="104"/>
      <c r="B69" s="105"/>
      <c r="C69" s="106"/>
      <c r="D69" s="40"/>
      <c r="E69" s="41"/>
      <c r="F69" s="110" t="s">
        <v>45</v>
      </c>
      <c r="G69" s="111"/>
      <c r="H69" s="112"/>
      <c r="I69" s="39">
        <v>40000</v>
      </c>
      <c r="J69" s="45"/>
    </row>
    <row r="70" spans="1:16384" ht="15.75" thickBot="1" x14ac:dyDescent="0.3">
      <c r="A70" s="104"/>
      <c r="B70" s="105"/>
      <c r="C70" s="106"/>
      <c r="D70" s="40"/>
      <c r="E70" s="41"/>
      <c r="F70" s="110" t="s">
        <v>68</v>
      </c>
      <c r="G70" s="111"/>
      <c r="H70" s="112"/>
      <c r="I70" s="39">
        <v>10000</v>
      </c>
      <c r="J70" s="45"/>
    </row>
    <row r="71" spans="1:16384" ht="15.75" thickBot="1" x14ac:dyDescent="0.3">
      <c r="A71" s="48"/>
      <c r="B71" s="49"/>
      <c r="C71" s="50"/>
      <c r="D71" s="40"/>
      <c r="E71" s="41"/>
      <c r="F71" s="110" t="s">
        <v>69</v>
      </c>
      <c r="G71" s="111"/>
      <c r="H71" s="112"/>
      <c r="I71" s="39">
        <v>400000</v>
      </c>
      <c r="J71" s="45"/>
    </row>
    <row r="72" spans="1:16384" ht="15.75" thickBot="1" x14ac:dyDescent="0.3">
      <c r="A72" s="104"/>
      <c r="B72" s="105"/>
      <c r="C72" s="106"/>
      <c r="D72" s="40"/>
      <c r="E72" s="41"/>
      <c r="F72" s="110" t="s">
        <v>60</v>
      </c>
      <c r="G72" s="111"/>
      <c r="H72" s="112"/>
      <c r="I72" s="39">
        <v>200000</v>
      </c>
      <c r="J72" s="45"/>
    </row>
    <row r="73" spans="1:16384" ht="15.75" thickBot="1" x14ac:dyDescent="0.3">
      <c r="A73" s="104"/>
      <c r="B73" s="105"/>
      <c r="C73" s="106"/>
      <c r="D73" s="40"/>
      <c r="E73" s="41"/>
      <c r="F73" s="110" t="s">
        <v>101</v>
      </c>
      <c r="G73" s="111"/>
      <c r="H73" s="112"/>
      <c r="I73" s="39">
        <v>47000</v>
      </c>
      <c r="J73" s="45"/>
      <c r="K73" s="45"/>
    </row>
    <row r="74" spans="1:16384" ht="15.75" thickBot="1" x14ac:dyDescent="0.3">
      <c r="A74" s="52"/>
      <c r="B74" s="53"/>
      <c r="C74" s="54"/>
      <c r="D74" s="11"/>
      <c r="E74" s="14"/>
      <c r="F74" s="113"/>
      <c r="G74" s="114"/>
      <c r="H74" s="115"/>
      <c r="I74" s="39"/>
    </row>
    <row r="75" spans="1:16384" ht="15.75" thickBot="1" x14ac:dyDescent="0.3">
      <c r="A75" s="52"/>
      <c r="B75" s="53"/>
      <c r="C75" s="54"/>
      <c r="D75" s="11"/>
      <c r="E75" s="14"/>
      <c r="F75" s="113"/>
      <c r="G75" s="114"/>
      <c r="H75" s="115"/>
      <c r="I75" s="18"/>
      <c r="J75" s="52"/>
      <c r="K75" s="53"/>
      <c r="L75" s="54"/>
      <c r="M75" s="11"/>
      <c r="N75" s="14"/>
      <c r="O75" s="113"/>
      <c r="P75" s="114"/>
      <c r="Q75" s="115"/>
      <c r="R75" s="18"/>
      <c r="S75" s="52"/>
      <c r="T75" s="53"/>
      <c r="U75" s="54"/>
      <c r="V75" s="11"/>
      <c r="W75" s="14"/>
      <c r="X75" s="113"/>
      <c r="Y75" s="114"/>
      <c r="Z75" s="115"/>
      <c r="AA75" s="18"/>
      <c r="AB75" s="52"/>
      <c r="AC75" s="53"/>
      <c r="AD75" s="54"/>
      <c r="AE75" s="11"/>
      <c r="AF75" s="14"/>
      <c r="AG75" s="113"/>
      <c r="AH75" s="114"/>
      <c r="AI75" s="115"/>
      <c r="AJ75" s="18"/>
      <c r="AK75" s="52"/>
      <c r="AL75" s="53"/>
      <c r="AM75" s="54"/>
      <c r="AN75" s="11"/>
      <c r="AO75" s="14"/>
      <c r="AP75" s="113"/>
      <c r="AQ75" s="114"/>
      <c r="AR75" s="115"/>
      <c r="AS75" s="18"/>
      <c r="AT75" s="52"/>
      <c r="AU75" s="53"/>
      <c r="AV75" s="54"/>
      <c r="AW75" s="11"/>
      <c r="AX75" s="14"/>
      <c r="AY75" s="113"/>
      <c r="AZ75" s="114"/>
      <c r="BA75" s="115"/>
      <c r="BB75" s="18"/>
      <c r="BC75" s="52"/>
      <c r="BD75" s="53"/>
      <c r="BE75" s="54"/>
      <c r="BF75" s="11"/>
      <c r="BG75" s="14"/>
      <c r="BH75" s="113"/>
      <c r="BI75" s="114"/>
      <c r="BJ75" s="115"/>
      <c r="BK75" s="18"/>
      <c r="BL75" s="52"/>
      <c r="BM75" s="53"/>
      <c r="BN75" s="54"/>
      <c r="BO75" s="11"/>
      <c r="BP75" s="14"/>
      <c r="BQ75" s="113"/>
      <c r="BR75" s="114"/>
      <c r="BS75" s="115"/>
      <c r="BT75" s="18"/>
      <c r="BU75" s="52"/>
      <c r="BV75" s="53"/>
      <c r="BW75" s="54"/>
      <c r="BX75" s="11"/>
      <c r="BY75" s="14"/>
      <c r="BZ75" s="113"/>
      <c r="CA75" s="114"/>
      <c r="CB75" s="115"/>
      <c r="CC75" s="18"/>
      <c r="CD75" s="52"/>
      <c r="CE75" s="53"/>
      <c r="CF75" s="54"/>
      <c r="CG75" s="11"/>
      <c r="CH75" s="14"/>
      <c r="CI75" s="113"/>
      <c r="CJ75" s="114"/>
      <c r="CK75" s="115"/>
      <c r="CL75" s="18"/>
      <c r="CM75" s="52"/>
      <c r="CN75" s="53"/>
      <c r="CO75" s="54"/>
      <c r="CP75" s="11"/>
      <c r="CQ75" s="14"/>
      <c r="CR75" s="113"/>
      <c r="CS75" s="114"/>
      <c r="CT75" s="115"/>
      <c r="CU75" s="18"/>
      <c r="CV75" s="52"/>
      <c r="CW75" s="53"/>
      <c r="CX75" s="54"/>
      <c r="CY75" s="11"/>
      <c r="CZ75" s="14"/>
      <c r="DA75" s="113"/>
      <c r="DB75" s="114"/>
      <c r="DC75" s="115"/>
      <c r="DD75" s="18"/>
      <c r="DE75" s="52"/>
      <c r="DF75" s="53"/>
      <c r="DG75" s="54"/>
      <c r="DH75" s="11"/>
      <c r="DI75" s="14"/>
      <c r="DJ75" s="113"/>
      <c r="DK75" s="114"/>
      <c r="DL75" s="115"/>
      <c r="DM75" s="18"/>
      <c r="DN75" s="52"/>
      <c r="DO75" s="53"/>
      <c r="DP75" s="54"/>
      <c r="DQ75" s="11"/>
      <c r="DR75" s="14"/>
      <c r="DS75" s="113"/>
      <c r="DT75" s="114"/>
      <c r="DU75" s="115"/>
      <c r="DV75" s="18"/>
      <c r="DW75" s="52"/>
      <c r="DX75" s="53"/>
      <c r="DY75" s="54"/>
      <c r="DZ75" s="11"/>
      <c r="EA75" s="14"/>
      <c r="EB75" s="113"/>
      <c r="EC75" s="114"/>
      <c r="ED75" s="115"/>
      <c r="EE75" s="18"/>
      <c r="EF75" s="52"/>
      <c r="EG75" s="53"/>
      <c r="EH75" s="54"/>
      <c r="EI75" s="11"/>
      <c r="EJ75" s="14"/>
      <c r="EK75" s="113"/>
      <c r="EL75" s="114"/>
      <c r="EM75" s="115"/>
      <c r="EN75" s="18"/>
      <c r="EO75" s="52"/>
      <c r="EP75" s="53"/>
      <c r="EQ75" s="54"/>
      <c r="ER75" s="11"/>
      <c r="ES75" s="14"/>
      <c r="ET75" s="113"/>
      <c r="EU75" s="114"/>
      <c r="EV75" s="115"/>
      <c r="EW75" s="18"/>
      <c r="EX75" s="52"/>
      <c r="EY75" s="53"/>
      <c r="EZ75" s="54"/>
      <c r="FA75" s="11"/>
      <c r="FB75" s="14"/>
      <c r="FC75" s="113"/>
      <c r="FD75" s="114"/>
      <c r="FE75" s="115"/>
      <c r="FF75" s="18"/>
      <c r="FG75" s="52"/>
      <c r="FH75" s="53"/>
      <c r="FI75" s="54"/>
      <c r="FJ75" s="11"/>
      <c r="FK75" s="14"/>
      <c r="FL75" s="113"/>
      <c r="FM75" s="114"/>
      <c r="FN75" s="115"/>
      <c r="FO75" s="18"/>
      <c r="FP75" s="52"/>
      <c r="FQ75" s="53"/>
      <c r="FR75" s="54"/>
      <c r="FS75" s="11"/>
      <c r="FT75" s="14"/>
      <c r="FU75" s="113"/>
      <c r="FV75" s="114"/>
      <c r="FW75" s="115"/>
      <c r="FX75" s="18"/>
      <c r="FY75" s="52"/>
      <c r="FZ75" s="53"/>
      <c r="GA75" s="54"/>
      <c r="GB75" s="11"/>
      <c r="GC75" s="14"/>
      <c r="GD75" s="113"/>
      <c r="GE75" s="114"/>
      <c r="GF75" s="115"/>
      <c r="GG75" s="18"/>
      <c r="GH75" s="52"/>
      <c r="GI75" s="53"/>
      <c r="GJ75" s="54"/>
      <c r="GK75" s="11"/>
      <c r="GL75" s="14"/>
      <c r="GM75" s="113"/>
      <c r="GN75" s="114"/>
      <c r="GO75" s="115"/>
      <c r="GP75" s="18"/>
      <c r="GQ75" s="52"/>
      <c r="GR75" s="53"/>
      <c r="GS75" s="54"/>
      <c r="GT75" s="11"/>
      <c r="GU75" s="14"/>
      <c r="GV75" s="113"/>
      <c r="GW75" s="114"/>
      <c r="GX75" s="115"/>
      <c r="GY75" s="18"/>
      <c r="GZ75" s="52"/>
      <c r="HA75" s="53"/>
      <c r="HB75" s="54"/>
      <c r="HC75" s="11"/>
      <c r="HD75" s="14"/>
      <c r="HE75" s="113"/>
      <c r="HF75" s="114"/>
      <c r="HG75" s="115"/>
      <c r="HH75" s="18"/>
      <c r="HI75" s="52"/>
      <c r="HJ75" s="53"/>
      <c r="HK75" s="54"/>
      <c r="HL75" s="11"/>
      <c r="HM75" s="14"/>
      <c r="HN75" s="113"/>
      <c r="HO75" s="114"/>
      <c r="HP75" s="115"/>
      <c r="HQ75" s="18"/>
      <c r="HR75" s="52"/>
      <c r="HS75" s="53"/>
      <c r="HT75" s="54"/>
      <c r="HU75" s="11"/>
      <c r="HV75" s="14"/>
      <c r="HW75" s="113"/>
      <c r="HX75" s="114"/>
      <c r="HY75" s="115"/>
      <c r="HZ75" s="18"/>
      <c r="IA75" s="52"/>
      <c r="IB75" s="53"/>
      <c r="IC75" s="54"/>
      <c r="ID75" s="11"/>
      <c r="IE75" s="14"/>
      <c r="IF75" s="113"/>
      <c r="IG75" s="114"/>
      <c r="IH75" s="115"/>
      <c r="II75" s="18"/>
      <c r="IJ75" s="52"/>
      <c r="IK75" s="53"/>
      <c r="IL75" s="54"/>
      <c r="IM75" s="11"/>
      <c r="IN75" s="14"/>
      <c r="IO75" s="113"/>
      <c r="IP75" s="114"/>
      <c r="IQ75" s="115"/>
      <c r="IR75" s="18"/>
      <c r="IS75" s="52"/>
      <c r="IT75" s="53"/>
      <c r="IU75" s="54"/>
      <c r="IV75" s="11"/>
      <c r="IW75" s="14"/>
      <c r="IX75" s="113"/>
      <c r="IY75" s="114"/>
      <c r="IZ75" s="115"/>
      <c r="JA75" s="18"/>
      <c r="JB75" s="52"/>
      <c r="JC75" s="53"/>
      <c r="JD75" s="54"/>
      <c r="JE75" s="11"/>
      <c r="JF75" s="14"/>
      <c r="JG75" s="113"/>
      <c r="JH75" s="114"/>
      <c r="JI75" s="115"/>
      <c r="JJ75" s="18"/>
      <c r="JK75" s="52"/>
      <c r="JL75" s="53"/>
      <c r="JM75" s="54"/>
      <c r="JN75" s="11"/>
      <c r="JO75" s="14"/>
      <c r="JP75" s="113"/>
      <c r="JQ75" s="114"/>
      <c r="JR75" s="115"/>
      <c r="JS75" s="18"/>
      <c r="JT75" s="52"/>
      <c r="JU75" s="53"/>
      <c r="JV75" s="54"/>
      <c r="JW75" s="11"/>
      <c r="JX75" s="14"/>
      <c r="JY75" s="113"/>
      <c r="JZ75" s="114"/>
      <c r="KA75" s="115"/>
      <c r="KB75" s="18"/>
      <c r="KC75" s="52"/>
      <c r="KD75" s="53"/>
      <c r="KE75" s="54"/>
      <c r="KF75" s="11"/>
      <c r="KG75" s="14"/>
      <c r="KH75" s="113"/>
      <c r="KI75" s="114"/>
      <c r="KJ75" s="115"/>
      <c r="KK75" s="18"/>
      <c r="KL75" s="52"/>
      <c r="KM75" s="53"/>
      <c r="KN75" s="54"/>
      <c r="KO75" s="11"/>
      <c r="KP75" s="14"/>
      <c r="KQ75" s="113"/>
      <c r="KR75" s="114"/>
      <c r="KS75" s="115"/>
      <c r="KT75" s="18"/>
      <c r="KU75" s="52"/>
      <c r="KV75" s="53"/>
      <c r="KW75" s="54"/>
      <c r="KX75" s="11"/>
      <c r="KY75" s="14"/>
      <c r="KZ75" s="113"/>
      <c r="LA75" s="114"/>
      <c r="LB75" s="115"/>
      <c r="LC75" s="18"/>
      <c r="LD75" s="52"/>
      <c r="LE75" s="53"/>
      <c r="LF75" s="54"/>
      <c r="LG75" s="11"/>
      <c r="LH75" s="14"/>
      <c r="LI75" s="113"/>
      <c r="LJ75" s="114"/>
      <c r="LK75" s="115"/>
      <c r="LL75" s="18"/>
      <c r="LM75" s="52"/>
      <c r="LN75" s="53"/>
      <c r="LO75" s="54"/>
      <c r="LP75" s="11"/>
      <c r="LQ75" s="14"/>
      <c r="LR75" s="113"/>
      <c r="LS75" s="114"/>
      <c r="LT75" s="115"/>
      <c r="LU75" s="18"/>
      <c r="LV75" s="52"/>
      <c r="LW75" s="53"/>
      <c r="LX75" s="54"/>
      <c r="LY75" s="11"/>
      <c r="LZ75" s="14"/>
      <c r="MA75" s="113"/>
      <c r="MB75" s="114"/>
      <c r="MC75" s="115"/>
      <c r="MD75" s="18"/>
      <c r="ME75" s="52"/>
      <c r="MF75" s="53"/>
      <c r="MG75" s="54"/>
      <c r="MH75" s="11"/>
      <c r="MI75" s="14"/>
      <c r="MJ75" s="113"/>
      <c r="MK75" s="114"/>
      <c r="ML75" s="115"/>
      <c r="MM75" s="18"/>
      <c r="MN75" s="52"/>
      <c r="MO75" s="53"/>
      <c r="MP75" s="54"/>
      <c r="MQ75" s="11"/>
      <c r="MR75" s="14"/>
      <c r="MS75" s="113"/>
      <c r="MT75" s="114"/>
      <c r="MU75" s="115"/>
      <c r="MV75" s="18"/>
      <c r="MW75" s="52"/>
      <c r="MX75" s="53"/>
      <c r="MY75" s="54"/>
      <c r="MZ75" s="11"/>
      <c r="NA75" s="14"/>
      <c r="NB75" s="113"/>
      <c r="NC75" s="114"/>
      <c r="ND75" s="115"/>
      <c r="NE75" s="18"/>
      <c r="NF75" s="52"/>
      <c r="NG75" s="53"/>
      <c r="NH75" s="54"/>
      <c r="NI75" s="11"/>
      <c r="NJ75" s="14"/>
      <c r="NK75" s="113"/>
      <c r="NL75" s="114"/>
      <c r="NM75" s="115"/>
      <c r="NN75" s="18"/>
      <c r="NO75" s="52"/>
      <c r="NP75" s="53"/>
      <c r="NQ75" s="54"/>
      <c r="NR75" s="11"/>
      <c r="NS75" s="14"/>
      <c r="NT75" s="113"/>
      <c r="NU75" s="114"/>
      <c r="NV75" s="115"/>
      <c r="NW75" s="18"/>
      <c r="NX75" s="52"/>
      <c r="NY75" s="53"/>
      <c r="NZ75" s="54"/>
      <c r="OA75" s="11"/>
      <c r="OB75" s="14"/>
      <c r="OC75" s="113"/>
      <c r="OD75" s="114"/>
      <c r="OE75" s="115"/>
      <c r="OF75" s="18"/>
      <c r="OG75" s="52"/>
      <c r="OH75" s="53"/>
      <c r="OI75" s="54"/>
      <c r="OJ75" s="11"/>
      <c r="OK75" s="14"/>
      <c r="OL75" s="113"/>
      <c r="OM75" s="114"/>
      <c r="ON75" s="115"/>
      <c r="OO75" s="18"/>
      <c r="OP75" s="52"/>
      <c r="OQ75" s="53"/>
      <c r="OR75" s="54"/>
      <c r="OS75" s="11"/>
      <c r="OT75" s="14"/>
      <c r="OU75" s="113"/>
      <c r="OV75" s="114"/>
      <c r="OW75" s="115"/>
      <c r="OX75" s="18"/>
      <c r="OY75" s="52"/>
      <c r="OZ75" s="53"/>
      <c r="PA75" s="54"/>
      <c r="PB75" s="11"/>
      <c r="PC75" s="14"/>
      <c r="PD75" s="113"/>
      <c r="PE75" s="114"/>
      <c r="PF75" s="115"/>
      <c r="PG75" s="18"/>
      <c r="PH75" s="52"/>
      <c r="PI75" s="53"/>
      <c r="PJ75" s="54"/>
      <c r="PK75" s="11"/>
      <c r="PL75" s="14"/>
      <c r="PM75" s="113"/>
      <c r="PN75" s="114"/>
      <c r="PO75" s="115"/>
      <c r="PP75" s="18"/>
      <c r="PQ75" s="52"/>
      <c r="PR75" s="53"/>
      <c r="PS75" s="54"/>
      <c r="PT75" s="11"/>
      <c r="PU75" s="14"/>
      <c r="PV75" s="113"/>
      <c r="PW75" s="114"/>
      <c r="PX75" s="115"/>
      <c r="PY75" s="18"/>
      <c r="PZ75" s="52"/>
      <c r="QA75" s="53"/>
      <c r="QB75" s="54"/>
      <c r="QC75" s="11"/>
      <c r="QD75" s="14"/>
      <c r="QE75" s="113"/>
      <c r="QF75" s="114"/>
      <c r="QG75" s="115"/>
      <c r="QH75" s="18"/>
      <c r="QI75" s="52"/>
      <c r="QJ75" s="53"/>
      <c r="QK75" s="54"/>
      <c r="QL75" s="11"/>
      <c r="QM75" s="14"/>
      <c r="QN75" s="113"/>
      <c r="QO75" s="114"/>
      <c r="QP75" s="115"/>
      <c r="QQ75" s="18"/>
      <c r="QR75" s="52"/>
      <c r="QS75" s="53"/>
      <c r="QT75" s="54"/>
      <c r="QU75" s="11"/>
      <c r="QV75" s="14"/>
      <c r="QW75" s="113"/>
      <c r="QX75" s="114"/>
      <c r="QY75" s="115"/>
      <c r="QZ75" s="18"/>
      <c r="RA75" s="52"/>
      <c r="RB75" s="53"/>
      <c r="RC75" s="54"/>
      <c r="RD75" s="11"/>
      <c r="RE75" s="14"/>
      <c r="RF75" s="113"/>
      <c r="RG75" s="114"/>
      <c r="RH75" s="115"/>
      <c r="RI75" s="18"/>
      <c r="RJ75" s="52"/>
      <c r="RK75" s="53"/>
      <c r="RL75" s="54"/>
      <c r="RM75" s="11"/>
      <c r="RN75" s="14"/>
      <c r="RO75" s="113"/>
      <c r="RP75" s="114"/>
      <c r="RQ75" s="115"/>
      <c r="RR75" s="18"/>
      <c r="RS75" s="52"/>
      <c r="RT75" s="53"/>
      <c r="RU75" s="54"/>
      <c r="RV75" s="11"/>
      <c r="RW75" s="14"/>
      <c r="RX75" s="113"/>
      <c r="RY75" s="114"/>
      <c r="RZ75" s="115"/>
      <c r="SA75" s="18"/>
      <c r="SB75" s="52"/>
      <c r="SC75" s="53"/>
      <c r="SD75" s="54"/>
      <c r="SE75" s="11"/>
      <c r="SF75" s="14"/>
      <c r="SG75" s="113"/>
      <c r="SH75" s="114"/>
      <c r="SI75" s="115"/>
      <c r="SJ75" s="18"/>
      <c r="SK75" s="52"/>
      <c r="SL75" s="53"/>
      <c r="SM75" s="54"/>
      <c r="SN75" s="11"/>
      <c r="SO75" s="14"/>
      <c r="SP75" s="113"/>
      <c r="SQ75" s="114"/>
      <c r="SR75" s="115"/>
      <c r="SS75" s="18"/>
      <c r="ST75" s="52"/>
      <c r="SU75" s="53"/>
      <c r="SV75" s="54"/>
      <c r="SW75" s="11"/>
      <c r="SX75" s="14"/>
      <c r="SY75" s="113"/>
      <c r="SZ75" s="114"/>
      <c r="TA75" s="115"/>
      <c r="TB75" s="18"/>
      <c r="TC75" s="52"/>
      <c r="TD75" s="53"/>
      <c r="TE75" s="54"/>
      <c r="TF75" s="11"/>
      <c r="TG75" s="14"/>
      <c r="TH75" s="113"/>
      <c r="TI75" s="114"/>
      <c r="TJ75" s="115"/>
      <c r="TK75" s="18"/>
      <c r="TL75" s="52"/>
      <c r="TM75" s="53"/>
      <c r="TN75" s="54"/>
      <c r="TO75" s="11"/>
      <c r="TP75" s="14"/>
      <c r="TQ75" s="113"/>
      <c r="TR75" s="114"/>
      <c r="TS75" s="115"/>
      <c r="TT75" s="18"/>
      <c r="TU75" s="52"/>
      <c r="TV75" s="53"/>
      <c r="TW75" s="54"/>
      <c r="TX75" s="11"/>
      <c r="TY75" s="14"/>
      <c r="TZ75" s="113"/>
      <c r="UA75" s="114"/>
      <c r="UB75" s="115"/>
      <c r="UC75" s="18"/>
      <c r="UD75" s="52"/>
      <c r="UE75" s="53"/>
      <c r="UF75" s="54"/>
      <c r="UG75" s="11"/>
      <c r="UH75" s="14"/>
      <c r="UI75" s="113"/>
      <c r="UJ75" s="114"/>
      <c r="UK75" s="115"/>
      <c r="UL75" s="18"/>
      <c r="UM75" s="52"/>
      <c r="UN75" s="53"/>
      <c r="UO75" s="54"/>
      <c r="UP75" s="11"/>
      <c r="UQ75" s="14"/>
      <c r="UR75" s="113"/>
      <c r="US75" s="114"/>
      <c r="UT75" s="115"/>
      <c r="UU75" s="18"/>
      <c r="UV75" s="52"/>
      <c r="UW75" s="53"/>
      <c r="UX75" s="54"/>
      <c r="UY75" s="11"/>
      <c r="UZ75" s="14"/>
      <c r="VA75" s="113"/>
      <c r="VB75" s="114"/>
      <c r="VC75" s="115"/>
      <c r="VD75" s="18"/>
      <c r="VE75" s="52"/>
      <c r="VF75" s="53"/>
      <c r="VG75" s="54"/>
      <c r="VH75" s="11"/>
      <c r="VI75" s="14"/>
      <c r="VJ75" s="113"/>
      <c r="VK75" s="114"/>
      <c r="VL75" s="115"/>
      <c r="VM75" s="18"/>
      <c r="VN75" s="52"/>
      <c r="VO75" s="53"/>
      <c r="VP75" s="54"/>
      <c r="VQ75" s="11"/>
      <c r="VR75" s="14"/>
      <c r="VS75" s="113"/>
      <c r="VT75" s="114"/>
      <c r="VU75" s="115"/>
      <c r="VV75" s="18"/>
      <c r="VW75" s="52"/>
      <c r="VX75" s="53"/>
      <c r="VY75" s="54"/>
      <c r="VZ75" s="11"/>
      <c r="WA75" s="14"/>
      <c r="WB75" s="113"/>
      <c r="WC75" s="114"/>
      <c r="WD75" s="115"/>
      <c r="WE75" s="18"/>
      <c r="WF75" s="52"/>
      <c r="WG75" s="53"/>
      <c r="WH75" s="54"/>
      <c r="WI75" s="11"/>
      <c r="WJ75" s="14"/>
      <c r="WK75" s="113"/>
      <c r="WL75" s="114"/>
      <c r="WM75" s="115"/>
      <c r="WN75" s="18"/>
      <c r="WO75" s="52"/>
      <c r="WP75" s="53"/>
      <c r="WQ75" s="54"/>
      <c r="WR75" s="11"/>
      <c r="WS75" s="14"/>
      <c r="WT75" s="113"/>
      <c r="WU75" s="114"/>
      <c r="WV75" s="115"/>
      <c r="WW75" s="18"/>
      <c r="WX75" s="52"/>
      <c r="WY75" s="53"/>
      <c r="WZ75" s="54"/>
      <c r="XA75" s="11"/>
      <c r="XB75" s="14"/>
      <c r="XC75" s="113"/>
      <c r="XD75" s="114"/>
      <c r="XE75" s="115"/>
      <c r="XF75" s="18"/>
      <c r="XG75" s="52"/>
      <c r="XH75" s="53"/>
      <c r="XI75" s="54"/>
      <c r="XJ75" s="11"/>
      <c r="XK75" s="14"/>
      <c r="XL75" s="113"/>
      <c r="XM75" s="114"/>
      <c r="XN75" s="115"/>
      <c r="XO75" s="18"/>
      <c r="XP75" s="52"/>
      <c r="XQ75" s="53"/>
      <c r="XR75" s="54"/>
      <c r="XS75" s="11"/>
      <c r="XT75" s="14"/>
      <c r="XU75" s="113"/>
      <c r="XV75" s="114"/>
      <c r="XW75" s="115"/>
      <c r="XX75" s="18"/>
      <c r="XY75" s="52"/>
      <c r="XZ75" s="53"/>
      <c r="YA75" s="54"/>
      <c r="YB75" s="11"/>
      <c r="YC75" s="14"/>
      <c r="YD75" s="113"/>
      <c r="YE75" s="114"/>
      <c r="YF75" s="115"/>
      <c r="YG75" s="18"/>
      <c r="YH75" s="52"/>
      <c r="YI75" s="53"/>
      <c r="YJ75" s="54"/>
      <c r="YK75" s="11"/>
      <c r="YL75" s="14"/>
      <c r="YM75" s="113"/>
      <c r="YN75" s="114"/>
      <c r="YO75" s="115"/>
      <c r="YP75" s="18"/>
      <c r="YQ75" s="52"/>
      <c r="YR75" s="53"/>
      <c r="YS75" s="54"/>
      <c r="YT75" s="11"/>
      <c r="YU75" s="14"/>
      <c r="YV75" s="113"/>
      <c r="YW75" s="114"/>
      <c r="YX75" s="115"/>
      <c r="YY75" s="18"/>
      <c r="YZ75" s="52"/>
      <c r="ZA75" s="53"/>
      <c r="ZB75" s="54"/>
      <c r="ZC75" s="11"/>
      <c r="ZD75" s="14"/>
      <c r="ZE75" s="113"/>
      <c r="ZF75" s="114"/>
      <c r="ZG75" s="115"/>
      <c r="ZH75" s="18"/>
      <c r="ZI75" s="52"/>
      <c r="ZJ75" s="53"/>
      <c r="ZK75" s="54"/>
      <c r="ZL75" s="11"/>
      <c r="ZM75" s="14"/>
      <c r="ZN75" s="113"/>
      <c r="ZO75" s="114"/>
      <c r="ZP75" s="115"/>
      <c r="ZQ75" s="18"/>
      <c r="ZR75" s="52"/>
      <c r="ZS75" s="53"/>
      <c r="ZT75" s="54"/>
      <c r="ZU75" s="11"/>
      <c r="ZV75" s="14"/>
      <c r="ZW75" s="113"/>
      <c r="ZX75" s="114"/>
      <c r="ZY75" s="115"/>
      <c r="ZZ75" s="18"/>
      <c r="AAA75" s="52"/>
      <c r="AAB75" s="53"/>
      <c r="AAC75" s="54"/>
      <c r="AAD75" s="11"/>
      <c r="AAE75" s="14"/>
      <c r="AAF75" s="113"/>
      <c r="AAG75" s="114"/>
      <c r="AAH75" s="115"/>
      <c r="AAI75" s="18"/>
      <c r="AAJ75" s="52"/>
      <c r="AAK75" s="53"/>
      <c r="AAL75" s="54"/>
      <c r="AAM75" s="11"/>
      <c r="AAN75" s="14"/>
      <c r="AAO75" s="113"/>
      <c r="AAP75" s="114"/>
      <c r="AAQ75" s="115"/>
      <c r="AAR75" s="18"/>
      <c r="AAS75" s="52"/>
      <c r="AAT75" s="53"/>
      <c r="AAU75" s="54"/>
      <c r="AAV75" s="11"/>
      <c r="AAW75" s="14"/>
      <c r="AAX75" s="113"/>
      <c r="AAY75" s="114"/>
      <c r="AAZ75" s="115"/>
      <c r="ABA75" s="18"/>
      <c r="ABB75" s="52"/>
      <c r="ABC75" s="53"/>
      <c r="ABD75" s="54"/>
      <c r="ABE75" s="11"/>
      <c r="ABF75" s="14"/>
      <c r="ABG75" s="113"/>
      <c r="ABH75" s="114"/>
      <c r="ABI75" s="115"/>
      <c r="ABJ75" s="18"/>
      <c r="ABK75" s="52"/>
      <c r="ABL75" s="53"/>
      <c r="ABM75" s="54"/>
      <c r="ABN75" s="11"/>
      <c r="ABO75" s="14"/>
      <c r="ABP75" s="113"/>
      <c r="ABQ75" s="114"/>
      <c r="ABR75" s="115"/>
      <c r="ABS75" s="18"/>
      <c r="ABT75" s="52"/>
      <c r="ABU75" s="53"/>
      <c r="ABV75" s="54"/>
      <c r="ABW75" s="11"/>
      <c r="ABX75" s="14"/>
      <c r="ABY75" s="113"/>
      <c r="ABZ75" s="114"/>
      <c r="ACA75" s="115"/>
      <c r="ACB75" s="18"/>
      <c r="ACC75" s="52"/>
      <c r="ACD75" s="53"/>
      <c r="ACE75" s="54"/>
      <c r="ACF75" s="11"/>
      <c r="ACG75" s="14"/>
      <c r="ACH75" s="113"/>
      <c r="ACI75" s="114"/>
      <c r="ACJ75" s="115"/>
      <c r="ACK75" s="18"/>
      <c r="ACL75" s="52"/>
      <c r="ACM75" s="53"/>
      <c r="ACN75" s="54"/>
      <c r="ACO75" s="11"/>
      <c r="ACP75" s="14"/>
      <c r="ACQ75" s="113"/>
      <c r="ACR75" s="114"/>
      <c r="ACS75" s="115"/>
      <c r="ACT75" s="18"/>
      <c r="ACU75" s="52"/>
      <c r="ACV75" s="53"/>
      <c r="ACW75" s="54"/>
      <c r="ACX75" s="11"/>
      <c r="ACY75" s="14"/>
      <c r="ACZ75" s="113"/>
      <c r="ADA75" s="114"/>
      <c r="ADB75" s="115"/>
      <c r="ADC75" s="18"/>
      <c r="ADD75" s="52"/>
      <c r="ADE75" s="53"/>
      <c r="ADF75" s="54"/>
      <c r="ADG75" s="11"/>
      <c r="ADH75" s="14"/>
      <c r="ADI75" s="113"/>
      <c r="ADJ75" s="114"/>
      <c r="ADK75" s="115"/>
      <c r="ADL75" s="18"/>
      <c r="ADM75" s="52"/>
      <c r="ADN75" s="53"/>
      <c r="ADO75" s="54"/>
      <c r="ADP75" s="11"/>
      <c r="ADQ75" s="14"/>
      <c r="ADR75" s="113"/>
      <c r="ADS75" s="114"/>
      <c r="ADT75" s="115"/>
      <c r="ADU75" s="18"/>
      <c r="ADV75" s="52"/>
      <c r="ADW75" s="53"/>
      <c r="ADX75" s="54"/>
      <c r="ADY75" s="11"/>
      <c r="ADZ75" s="14"/>
      <c r="AEA75" s="113"/>
      <c r="AEB75" s="114"/>
      <c r="AEC75" s="115"/>
      <c r="AED75" s="18"/>
      <c r="AEE75" s="52"/>
      <c r="AEF75" s="53"/>
      <c r="AEG75" s="54"/>
      <c r="AEH75" s="11"/>
      <c r="AEI75" s="14"/>
      <c r="AEJ75" s="113"/>
      <c r="AEK75" s="114"/>
      <c r="AEL75" s="115"/>
      <c r="AEM75" s="18"/>
      <c r="AEN75" s="52"/>
      <c r="AEO75" s="53"/>
      <c r="AEP75" s="54"/>
      <c r="AEQ75" s="11"/>
      <c r="AER75" s="14"/>
      <c r="AES75" s="113"/>
      <c r="AET75" s="114"/>
      <c r="AEU75" s="115"/>
      <c r="AEV75" s="18"/>
      <c r="AEW75" s="52"/>
      <c r="AEX75" s="53"/>
      <c r="AEY75" s="54"/>
      <c r="AEZ75" s="11"/>
      <c r="AFA75" s="14"/>
      <c r="AFB75" s="113"/>
      <c r="AFC75" s="114"/>
      <c r="AFD75" s="115"/>
      <c r="AFE75" s="18"/>
      <c r="AFF75" s="52"/>
      <c r="AFG75" s="53"/>
      <c r="AFH75" s="54"/>
      <c r="AFI75" s="11"/>
      <c r="AFJ75" s="14"/>
      <c r="AFK75" s="113"/>
      <c r="AFL75" s="114"/>
      <c r="AFM75" s="115"/>
      <c r="AFN75" s="18"/>
      <c r="AFO75" s="52"/>
      <c r="AFP75" s="53"/>
      <c r="AFQ75" s="54"/>
      <c r="AFR75" s="11"/>
      <c r="AFS75" s="14"/>
      <c r="AFT75" s="113"/>
      <c r="AFU75" s="114"/>
      <c r="AFV75" s="115"/>
      <c r="AFW75" s="18"/>
      <c r="AFX75" s="52"/>
      <c r="AFY75" s="53"/>
      <c r="AFZ75" s="54"/>
      <c r="AGA75" s="11"/>
      <c r="AGB75" s="14"/>
      <c r="AGC75" s="113"/>
      <c r="AGD75" s="114"/>
      <c r="AGE75" s="115"/>
      <c r="AGF75" s="18"/>
      <c r="AGG75" s="52"/>
      <c r="AGH75" s="53"/>
      <c r="AGI75" s="54"/>
      <c r="AGJ75" s="11"/>
      <c r="AGK75" s="14"/>
      <c r="AGL75" s="113"/>
      <c r="AGM75" s="114"/>
      <c r="AGN75" s="115"/>
      <c r="AGO75" s="18"/>
      <c r="AGP75" s="52"/>
      <c r="AGQ75" s="53"/>
      <c r="AGR75" s="54"/>
      <c r="AGS75" s="11"/>
      <c r="AGT75" s="14"/>
      <c r="AGU75" s="113"/>
      <c r="AGV75" s="114"/>
      <c r="AGW75" s="115"/>
      <c r="AGX75" s="18"/>
      <c r="AGY75" s="52"/>
      <c r="AGZ75" s="53"/>
      <c r="AHA75" s="54"/>
      <c r="AHB75" s="11"/>
      <c r="AHC75" s="14"/>
      <c r="AHD75" s="113"/>
      <c r="AHE75" s="114"/>
      <c r="AHF75" s="115"/>
      <c r="AHG75" s="18"/>
      <c r="AHH75" s="52"/>
      <c r="AHI75" s="53"/>
      <c r="AHJ75" s="54"/>
      <c r="AHK75" s="11"/>
      <c r="AHL75" s="14"/>
      <c r="AHM75" s="113"/>
      <c r="AHN75" s="114"/>
      <c r="AHO75" s="115"/>
      <c r="AHP75" s="18"/>
      <c r="AHQ75" s="52"/>
      <c r="AHR75" s="53"/>
      <c r="AHS75" s="54"/>
      <c r="AHT75" s="11"/>
      <c r="AHU75" s="14"/>
      <c r="AHV75" s="113"/>
      <c r="AHW75" s="114"/>
      <c r="AHX75" s="115"/>
      <c r="AHY75" s="18"/>
      <c r="AHZ75" s="52"/>
      <c r="AIA75" s="53"/>
      <c r="AIB75" s="54"/>
      <c r="AIC75" s="11"/>
      <c r="AID75" s="14"/>
      <c r="AIE75" s="113"/>
      <c r="AIF75" s="114"/>
      <c r="AIG75" s="115"/>
      <c r="AIH75" s="18"/>
      <c r="AII75" s="52"/>
      <c r="AIJ75" s="53"/>
      <c r="AIK75" s="54"/>
      <c r="AIL75" s="11"/>
      <c r="AIM75" s="14"/>
      <c r="AIN75" s="113"/>
      <c r="AIO75" s="114"/>
      <c r="AIP75" s="115"/>
      <c r="AIQ75" s="18"/>
      <c r="AIR75" s="52"/>
      <c r="AIS75" s="53"/>
      <c r="AIT75" s="54"/>
      <c r="AIU75" s="11"/>
      <c r="AIV75" s="14"/>
      <c r="AIW75" s="113"/>
      <c r="AIX75" s="114"/>
      <c r="AIY75" s="115"/>
      <c r="AIZ75" s="18"/>
      <c r="AJA75" s="52"/>
      <c r="AJB75" s="53"/>
      <c r="AJC75" s="54"/>
      <c r="AJD75" s="11"/>
      <c r="AJE75" s="14"/>
      <c r="AJF75" s="113"/>
      <c r="AJG75" s="114"/>
      <c r="AJH75" s="115"/>
      <c r="AJI75" s="18"/>
      <c r="AJJ75" s="52"/>
      <c r="AJK75" s="53"/>
      <c r="AJL75" s="54"/>
      <c r="AJM75" s="11"/>
      <c r="AJN75" s="14"/>
      <c r="AJO75" s="113"/>
      <c r="AJP75" s="114"/>
      <c r="AJQ75" s="115"/>
      <c r="AJR75" s="18"/>
      <c r="AJS75" s="52"/>
      <c r="AJT75" s="53"/>
      <c r="AJU75" s="54"/>
      <c r="AJV75" s="11"/>
      <c r="AJW75" s="14"/>
      <c r="AJX75" s="113"/>
      <c r="AJY75" s="114"/>
      <c r="AJZ75" s="115"/>
      <c r="AKA75" s="18"/>
      <c r="AKB75" s="52"/>
      <c r="AKC75" s="53"/>
      <c r="AKD75" s="54"/>
      <c r="AKE75" s="11"/>
      <c r="AKF75" s="14"/>
      <c r="AKG75" s="113"/>
      <c r="AKH75" s="114"/>
      <c r="AKI75" s="115"/>
      <c r="AKJ75" s="18"/>
      <c r="AKK75" s="52"/>
      <c r="AKL75" s="53"/>
      <c r="AKM75" s="54"/>
      <c r="AKN75" s="11"/>
      <c r="AKO75" s="14"/>
      <c r="AKP75" s="113"/>
      <c r="AKQ75" s="114"/>
      <c r="AKR75" s="115"/>
      <c r="AKS75" s="18"/>
      <c r="AKT75" s="52"/>
      <c r="AKU75" s="53"/>
      <c r="AKV75" s="54"/>
      <c r="AKW75" s="11"/>
      <c r="AKX75" s="14"/>
      <c r="AKY75" s="113"/>
      <c r="AKZ75" s="114"/>
      <c r="ALA75" s="115"/>
      <c r="ALB75" s="18"/>
      <c r="ALC75" s="52"/>
      <c r="ALD75" s="53"/>
      <c r="ALE75" s="54"/>
      <c r="ALF75" s="11"/>
      <c r="ALG75" s="14"/>
      <c r="ALH75" s="113"/>
      <c r="ALI75" s="114"/>
      <c r="ALJ75" s="115"/>
      <c r="ALK75" s="18"/>
      <c r="ALL75" s="52"/>
      <c r="ALM75" s="53"/>
      <c r="ALN75" s="54"/>
      <c r="ALO75" s="11"/>
      <c r="ALP75" s="14"/>
      <c r="ALQ75" s="113"/>
      <c r="ALR75" s="114"/>
      <c r="ALS75" s="115"/>
      <c r="ALT75" s="18"/>
      <c r="ALU75" s="52"/>
      <c r="ALV75" s="53"/>
      <c r="ALW75" s="54"/>
      <c r="ALX75" s="11"/>
      <c r="ALY75" s="14"/>
      <c r="ALZ75" s="113"/>
      <c r="AMA75" s="114"/>
      <c r="AMB75" s="115"/>
      <c r="AMC75" s="18"/>
      <c r="AMD75" s="52"/>
      <c r="AME75" s="53"/>
      <c r="AMF75" s="54"/>
      <c r="AMG75" s="11"/>
      <c r="AMH75" s="14"/>
      <c r="AMI75" s="113"/>
      <c r="AMJ75" s="114"/>
      <c r="AMK75" s="115"/>
      <c r="AML75" s="18"/>
      <c r="AMM75" s="52"/>
      <c r="AMN75" s="53"/>
      <c r="AMO75" s="54"/>
      <c r="AMP75" s="11"/>
      <c r="AMQ75" s="14"/>
      <c r="AMR75" s="113"/>
      <c r="AMS75" s="114"/>
      <c r="AMT75" s="115"/>
      <c r="AMU75" s="18"/>
      <c r="AMV75" s="52"/>
      <c r="AMW75" s="53"/>
      <c r="AMX75" s="54"/>
      <c r="AMY75" s="11"/>
      <c r="AMZ75" s="14"/>
      <c r="ANA75" s="113"/>
      <c r="ANB75" s="114"/>
      <c r="ANC75" s="115"/>
      <c r="AND75" s="18"/>
      <c r="ANE75" s="52"/>
      <c r="ANF75" s="53"/>
      <c r="ANG75" s="54"/>
      <c r="ANH75" s="11"/>
      <c r="ANI75" s="14"/>
      <c r="ANJ75" s="113"/>
      <c r="ANK75" s="114"/>
      <c r="ANL75" s="115"/>
      <c r="ANM75" s="18"/>
      <c r="ANN75" s="52"/>
      <c r="ANO75" s="53"/>
      <c r="ANP75" s="54"/>
      <c r="ANQ75" s="11"/>
      <c r="ANR75" s="14"/>
      <c r="ANS75" s="113"/>
      <c r="ANT75" s="114"/>
      <c r="ANU75" s="115"/>
      <c r="ANV75" s="18"/>
      <c r="ANW75" s="52"/>
      <c r="ANX75" s="53"/>
      <c r="ANY75" s="54"/>
      <c r="ANZ75" s="11"/>
      <c r="AOA75" s="14"/>
      <c r="AOB75" s="113"/>
      <c r="AOC75" s="114"/>
      <c r="AOD75" s="115"/>
      <c r="AOE75" s="18"/>
      <c r="AOF75" s="52"/>
      <c r="AOG75" s="53"/>
      <c r="AOH75" s="54"/>
      <c r="AOI75" s="11"/>
      <c r="AOJ75" s="14"/>
      <c r="AOK75" s="113"/>
      <c r="AOL75" s="114"/>
      <c r="AOM75" s="115"/>
      <c r="AON75" s="18"/>
      <c r="AOO75" s="52"/>
      <c r="AOP75" s="53"/>
      <c r="AOQ75" s="54"/>
      <c r="AOR75" s="11"/>
      <c r="AOS75" s="14"/>
      <c r="AOT75" s="113"/>
      <c r="AOU75" s="114"/>
      <c r="AOV75" s="115"/>
      <c r="AOW75" s="18"/>
      <c r="AOX75" s="52"/>
      <c r="AOY75" s="53"/>
      <c r="AOZ75" s="54"/>
      <c r="APA75" s="11"/>
      <c r="APB75" s="14"/>
      <c r="APC75" s="113"/>
      <c r="APD75" s="114"/>
      <c r="APE75" s="115"/>
      <c r="APF75" s="18"/>
      <c r="APG75" s="52"/>
      <c r="APH75" s="53"/>
      <c r="API75" s="54"/>
      <c r="APJ75" s="11"/>
      <c r="APK75" s="14"/>
      <c r="APL75" s="113"/>
      <c r="APM75" s="114"/>
      <c r="APN75" s="115"/>
      <c r="APO75" s="18"/>
      <c r="APP75" s="52"/>
      <c r="APQ75" s="53"/>
      <c r="APR75" s="54"/>
      <c r="APS75" s="11"/>
      <c r="APT75" s="14"/>
      <c r="APU75" s="113"/>
      <c r="APV75" s="114"/>
      <c r="APW75" s="115"/>
      <c r="APX75" s="18"/>
      <c r="APY75" s="52"/>
      <c r="APZ75" s="53"/>
      <c r="AQA75" s="54"/>
      <c r="AQB75" s="11"/>
      <c r="AQC75" s="14"/>
      <c r="AQD75" s="113"/>
      <c r="AQE75" s="114"/>
      <c r="AQF75" s="115"/>
      <c r="AQG75" s="18"/>
      <c r="AQH75" s="52"/>
      <c r="AQI75" s="53"/>
      <c r="AQJ75" s="54"/>
      <c r="AQK75" s="11"/>
      <c r="AQL75" s="14"/>
      <c r="AQM75" s="113"/>
      <c r="AQN75" s="114"/>
      <c r="AQO75" s="115"/>
      <c r="AQP75" s="18"/>
      <c r="AQQ75" s="52"/>
      <c r="AQR75" s="53"/>
      <c r="AQS75" s="54"/>
      <c r="AQT75" s="11"/>
      <c r="AQU75" s="14"/>
      <c r="AQV75" s="113"/>
      <c r="AQW75" s="114"/>
      <c r="AQX75" s="115"/>
      <c r="AQY75" s="18"/>
      <c r="AQZ75" s="52"/>
      <c r="ARA75" s="53"/>
      <c r="ARB75" s="54"/>
      <c r="ARC75" s="11"/>
      <c r="ARD75" s="14"/>
      <c r="ARE75" s="113"/>
      <c r="ARF75" s="114"/>
      <c r="ARG75" s="115"/>
      <c r="ARH75" s="18"/>
      <c r="ARI75" s="52"/>
      <c r="ARJ75" s="53"/>
      <c r="ARK75" s="54"/>
      <c r="ARL75" s="11"/>
      <c r="ARM75" s="14"/>
      <c r="ARN75" s="113"/>
      <c r="ARO75" s="114"/>
      <c r="ARP75" s="115"/>
      <c r="ARQ75" s="18"/>
      <c r="ARR75" s="52"/>
      <c r="ARS75" s="53"/>
      <c r="ART75" s="54"/>
      <c r="ARU75" s="11"/>
      <c r="ARV75" s="14"/>
      <c r="ARW75" s="113"/>
      <c r="ARX75" s="114"/>
      <c r="ARY75" s="115"/>
      <c r="ARZ75" s="18"/>
      <c r="ASA75" s="52"/>
      <c r="ASB75" s="53"/>
      <c r="ASC75" s="54"/>
      <c r="ASD75" s="11"/>
      <c r="ASE75" s="14"/>
      <c r="ASF75" s="113"/>
      <c r="ASG75" s="114"/>
      <c r="ASH75" s="115"/>
      <c r="ASI75" s="18"/>
      <c r="ASJ75" s="52"/>
      <c r="ASK75" s="53"/>
      <c r="ASL75" s="54"/>
      <c r="ASM75" s="11"/>
      <c r="ASN75" s="14"/>
      <c r="ASO75" s="113"/>
      <c r="ASP75" s="114"/>
      <c r="ASQ75" s="115"/>
      <c r="ASR75" s="18"/>
      <c r="ASS75" s="52"/>
      <c r="AST75" s="53"/>
      <c r="ASU75" s="54"/>
      <c r="ASV75" s="11"/>
      <c r="ASW75" s="14"/>
      <c r="ASX75" s="113"/>
      <c r="ASY75" s="114"/>
      <c r="ASZ75" s="115"/>
      <c r="ATA75" s="18"/>
      <c r="ATB75" s="52"/>
      <c r="ATC75" s="53"/>
      <c r="ATD75" s="54"/>
      <c r="ATE75" s="11"/>
      <c r="ATF75" s="14"/>
      <c r="ATG75" s="113"/>
      <c r="ATH75" s="114"/>
      <c r="ATI75" s="115"/>
      <c r="ATJ75" s="18"/>
      <c r="ATK75" s="52"/>
      <c r="ATL75" s="53"/>
      <c r="ATM75" s="54"/>
      <c r="ATN75" s="11"/>
      <c r="ATO75" s="14"/>
      <c r="ATP75" s="113"/>
      <c r="ATQ75" s="114"/>
      <c r="ATR75" s="115"/>
      <c r="ATS75" s="18"/>
      <c r="ATT75" s="52"/>
      <c r="ATU75" s="53"/>
      <c r="ATV75" s="54"/>
      <c r="ATW75" s="11"/>
      <c r="ATX75" s="14"/>
      <c r="ATY75" s="113"/>
      <c r="ATZ75" s="114"/>
      <c r="AUA75" s="115"/>
      <c r="AUB75" s="18"/>
      <c r="AUC75" s="52"/>
      <c r="AUD75" s="53"/>
      <c r="AUE75" s="54"/>
      <c r="AUF75" s="11"/>
      <c r="AUG75" s="14"/>
      <c r="AUH75" s="113"/>
      <c r="AUI75" s="114"/>
      <c r="AUJ75" s="115"/>
      <c r="AUK75" s="18"/>
      <c r="AUL75" s="52"/>
      <c r="AUM75" s="53"/>
      <c r="AUN75" s="54"/>
      <c r="AUO75" s="11"/>
      <c r="AUP75" s="14"/>
      <c r="AUQ75" s="113"/>
      <c r="AUR75" s="114"/>
      <c r="AUS75" s="115"/>
      <c r="AUT75" s="18"/>
      <c r="AUU75" s="52"/>
      <c r="AUV75" s="53"/>
      <c r="AUW75" s="54"/>
      <c r="AUX75" s="11"/>
      <c r="AUY75" s="14"/>
      <c r="AUZ75" s="113"/>
      <c r="AVA75" s="114"/>
      <c r="AVB75" s="115"/>
      <c r="AVC75" s="18"/>
      <c r="AVD75" s="52"/>
      <c r="AVE75" s="53"/>
      <c r="AVF75" s="54"/>
      <c r="AVG75" s="11"/>
      <c r="AVH75" s="14"/>
      <c r="AVI75" s="113"/>
      <c r="AVJ75" s="114"/>
      <c r="AVK75" s="115"/>
      <c r="AVL75" s="18"/>
      <c r="AVM75" s="52"/>
      <c r="AVN75" s="53"/>
      <c r="AVO75" s="54"/>
      <c r="AVP75" s="11"/>
      <c r="AVQ75" s="14"/>
      <c r="AVR75" s="113"/>
      <c r="AVS75" s="114"/>
      <c r="AVT75" s="115"/>
      <c r="AVU75" s="18"/>
      <c r="AVV75" s="52"/>
      <c r="AVW75" s="53"/>
      <c r="AVX75" s="54"/>
      <c r="AVY75" s="11"/>
      <c r="AVZ75" s="14"/>
      <c r="AWA75" s="113"/>
      <c r="AWB75" s="114"/>
      <c r="AWC75" s="115"/>
      <c r="AWD75" s="18"/>
      <c r="AWE75" s="52"/>
      <c r="AWF75" s="53"/>
      <c r="AWG75" s="54"/>
      <c r="AWH75" s="11"/>
      <c r="AWI75" s="14"/>
      <c r="AWJ75" s="113"/>
      <c r="AWK75" s="114"/>
      <c r="AWL75" s="115"/>
      <c r="AWM75" s="18"/>
      <c r="AWN75" s="52"/>
      <c r="AWO75" s="53"/>
      <c r="AWP75" s="54"/>
      <c r="AWQ75" s="11"/>
      <c r="AWR75" s="14"/>
      <c r="AWS75" s="113"/>
      <c r="AWT75" s="114"/>
      <c r="AWU75" s="115"/>
      <c r="AWV75" s="18"/>
      <c r="AWW75" s="52"/>
      <c r="AWX75" s="53"/>
      <c r="AWY75" s="54"/>
      <c r="AWZ75" s="11"/>
      <c r="AXA75" s="14"/>
      <c r="AXB75" s="113"/>
      <c r="AXC75" s="114"/>
      <c r="AXD75" s="115"/>
      <c r="AXE75" s="18"/>
      <c r="AXF75" s="52"/>
      <c r="AXG75" s="53"/>
      <c r="AXH75" s="54"/>
      <c r="AXI75" s="11"/>
      <c r="AXJ75" s="14"/>
      <c r="AXK75" s="113"/>
      <c r="AXL75" s="114"/>
      <c r="AXM75" s="115"/>
      <c r="AXN75" s="18"/>
      <c r="AXO75" s="52"/>
      <c r="AXP75" s="53"/>
      <c r="AXQ75" s="54"/>
      <c r="AXR75" s="11"/>
      <c r="AXS75" s="14"/>
      <c r="AXT75" s="113"/>
      <c r="AXU75" s="114"/>
      <c r="AXV75" s="115"/>
      <c r="AXW75" s="18"/>
      <c r="AXX75" s="52"/>
      <c r="AXY75" s="53"/>
      <c r="AXZ75" s="54"/>
      <c r="AYA75" s="11"/>
      <c r="AYB75" s="14"/>
      <c r="AYC75" s="113"/>
      <c r="AYD75" s="114"/>
      <c r="AYE75" s="115"/>
      <c r="AYF75" s="18"/>
      <c r="AYG75" s="52"/>
      <c r="AYH75" s="53"/>
      <c r="AYI75" s="54"/>
      <c r="AYJ75" s="11"/>
      <c r="AYK75" s="14"/>
      <c r="AYL75" s="113"/>
      <c r="AYM75" s="114"/>
      <c r="AYN75" s="115"/>
      <c r="AYO75" s="18"/>
      <c r="AYP75" s="52"/>
      <c r="AYQ75" s="53"/>
      <c r="AYR75" s="54"/>
      <c r="AYS75" s="11"/>
      <c r="AYT75" s="14"/>
      <c r="AYU75" s="113"/>
      <c r="AYV75" s="114"/>
      <c r="AYW75" s="115"/>
      <c r="AYX75" s="18"/>
      <c r="AYY75" s="52"/>
      <c r="AYZ75" s="53"/>
      <c r="AZA75" s="54"/>
      <c r="AZB75" s="11"/>
      <c r="AZC75" s="14"/>
      <c r="AZD75" s="113"/>
      <c r="AZE75" s="114"/>
      <c r="AZF75" s="115"/>
      <c r="AZG75" s="18"/>
      <c r="AZH75" s="52"/>
      <c r="AZI75" s="53"/>
      <c r="AZJ75" s="54"/>
      <c r="AZK75" s="11"/>
      <c r="AZL75" s="14"/>
      <c r="AZM75" s="113"/>
      <c r="AZN75" s="114"/>
      <c r="AZO75" s="115"/>
      <c r="AZP75" s="18"/>
      <c r="AZQ75" s="52"/>
      <c r="AZR75" s="53"/>
      <c r="AZS75" s="54"/>
      <c r="AZT75" s="11"/>
      <c r="AZU75" s="14"/>
      <c r="AZV75" s="113"/>
      <c r="AZW75" s="114"/>
      <c r="AZX75" s="115"/>
      <c r="AZY75" s="18"/>
      <c r="AZZ75" s="52"/>
      <c r="BAA75" s="53"/>
      <c r="BAB75" s="54"/>
      <c r="BAC75" s="11"/>
      <c r="BAD75" s="14"/>
      <c r="BAE75" s="113"/>
      <c r="BAF75" s="114"/>
      <c r="BAG75" s="115"/>
      <c r="BAH75" s="18"/>
      <c r="BAI75" s="52"/>
      <c r="BAJ75" s="53"/>
      <c r="BAK75" s="54"/>
      <c r="BAL75" s="11"/>
      <c r="BAM75" s="14"/>
      <c r="BAN75" s="113"/>
      <c r="BAO75" s="114"/>
      <c r="BAP75" s="115"/>
      <c r="BAQ75" s="18"/>
      <c r="BAR75" s="52"/>
      <c r="BAS75" s="53"/>
      <c r="BAT75" s="54"/>
      <c r="BAU75" s="11"/>
      <c r="BAV75" s="14"/>
      <c r="BAW75" s="113"/>
      <c r="BAX75" s="114"/>
      <c r="BAY75" s="115"/>
      <c r="BAZ75" s="18"/>
      <c r="BBA75" s="52"/>
      <c r="BBB75" s="53"/>
      <c r="BBC75" s="54"/>
      <c r="BBD75" s="11"/>
      <c r="BBE75" s="14"/>
      <c r="BBF75" s="113"/>
      <c r="BBG75" s="114"/>
      <c r="BBH75" s="115"/>
      <c r="BBI75" s="18"/>
      <c r="BBJ75" s="52"/>
      <c r="BBK75" s="53"/>
      <c r="BBL75" s="54"/>
      <c r="BBM75" s="11"/>
      <c r="BBN75" s="14"/>
      <c r="BBO75" s="113"/>
      <c r="BBP75" s="114"/>
      <c r="BBQ75" s="115"/>
      <c r="BBR75" s="18"/>
      <c r="BBS75" s="52"/>
      <c r="BBT75" s="53"/>
      <c r="BBU75" s="54"/>
      <c r="BBV75" s="11"/>
      <c r="BBW75" s="14"/>
      <c r="BBX75" s="113"/>
      <c r="BBY75" s="114"/>
      <c r="BBZ75" s="115"/>
      <c r="BCA75" s="18"/>
      <c r="BCB75" s="52"/>
      <c r="BCC75" s="53"/>
      <c r="BCD75" s="54"/>
      <c r="BCE75" s="11"/>
      <c r="BCF75" s="14"/>
      <c r="BCG75" s="113"/>
      <c r="BCH75" s="114"/>
      <c r="BCI75" s="115"/>
      <c r="BCJ75" s="18"/>
      <c r="BCK75" s="52"/>
      <c r="BCL75" s="53"/>
      <c r="BCM75" s="54"/>
      <c r="BCN75" s="11"/>
      <c r="BCO75" s="14"/>
      <c r="BCP75" s="113"/>
      <c r="BCQ75" s="114"/>
      <c r="BCR75" s="115"/>
      <c r="BCS75" s="18"/>
      <c r="BCT75" s="52"/>
      <c r="BCU75" s="53"/>
      <c r="BCV75" s="54"/>
      <c r="BCW75" s="11"/>
      <c r="BCX75" s="14"/>
      <c r="BCY75" s="113"/>
      <c r="BCZ75" s="114"/>
      <c r="BDA75" s="115"/>
      <c r="BDB75" s="18"/>
      <c r="BDC75" s="52"/>
      <c r="BDD75" s="53"/>
      <c r="BDE75" s="54"/>
      <c r="BDF75" s="11"/>
      <c r="BDG75" s="14"/>
      <c r="BDH75" s="113"/>
      <c r="BDI75" s="114"/>
      <c r="BDJ75" s="115"/>
      <c r="BDK75" s="18"/>
      <c r="BDL75" s="52"/>
      <c r="BDM75" s="53"/>
      <c r="BDN75" s="54"/>
      <c r="BDO75" s="11"/>
      <c r="BDP75" s="14"/>
      <c r="BDQ75" s="113"/>
      <c r="BDR75" s="114"/>
      <c r="BDS75" s="115"/>
      <c r="BDT75" s="18"/>
      <c r="BDU75" s="52"/>
      <c r="BDV75" s="53"/>
      <c r="BDW75" s="54"/>
      <c r="BDX75" s="11"/>
      <c r="BDY75" s="14"/>
      <c r="BDZ75" s="113"/>
      <c r="BEA75" s="114"/>
      <c r="BEB75" s="115"/>
      <c r="BEC75" s="18"/>
      <c r="BED75" s="52"/>
      <c r="BEE75" s="53"/>
      <c r="BEF75" s="54"/>
      <c r="BEG75" s="11"/>
      <c r="BEH75" s="14"/>
      <c r="BEI75" s="113"/>
      <c r="BEJ75" s="114"/>
      <c r="BEK75" s="115"/>
      <c r="BEL75" s="18"/>
      <c r="BEM75" s="52"/>
      <c r="BEN75" s="53"/>
      <c r="BEO75" s="54"/>
      <c r="BEP75" s="11"/>
      <c r="BEQ75" s="14"/>
      <c r="BER75" s="113"/>
      <c r="BES75" s="114"/>
      <c r="BET75" s="115"/>
      <c r="BEU75" s="18"/>
      <c r="BEV75" s="52"/>
      <c r="BEW75" s="53"/>
      <c r="BEX75" s="54"/>
      <c r="BEY75" s="11"/>
      <c r="BEZ75" s="14"/>
      <c r="BFA75" s="113"/>
      <c r="BFB75" s="114"/>
      <c r="BFC75" s="115"/>
      <c r="BFD75" s="18"/>
      <c r="BFE75" s="52"/>
      <c r="BFF75" s="53"/>
      <c r="BFG75" s="54"/>
      <c r="BFH75" s="11"/>
      <c r="BFI75" s="14"/>
      <c r="BFJ75" s="113"/>
      <c r="BFK75" s="114"/>
      <c r="BFL75" s="115"/>
      <c r="BFM75" s="18"/>
      <c r="BFN75" s="52"/>
      <c r="BFO75" s="53"/>
      <c r="BFP75" s="54"/>
      <c r="BFQ75" s="11"/>
      <c r="BFR75" s="14"/>
      <c r="BFS75" s="113"/>
      <c r="BFT75" s="114"/>
      <c r="BFU75" s="115"/>
      <c r="BFV75" s="18"/>
      <c r="BFW75" s="52"/>
      <c r="BFX75" s="53"/>
      <c r="BFY75" s="54"/>
      <c r="BFZ75" s="11"/>
      <c r="BGA75" s="14"/>
      <c r="BGB75" s="113"/>
      <c r="BGC75" s="114"/>
      <c r="BGD75" s="115"/>
      <c r="BGE75" s="18"/>
      <c r="BGF75" s="52"/>
      <c r="BGG75" s="53"/>
      <c r="BGH75" s="54"/>
      <c r="BGI75" s="11"/>
      <c r="BGJ75" s="14"/>
      <c r="BGK75" s="113"/>
      <c r="BGL75" s="114"/>
      <c r="BGM75" s="115"/>
      <c r="BGN75" s="18"/>
      <c r="BGO75" s="52"/>
      <c r="BGP75" s="53"/>
      <c r="BGQ75" s="54"/>
      <c r="BGR75" s="11"/>
      <c r="BGS75" s="14"/>
      <c r="BGT75" s="113"/>
      <c r="BGU75" s="114"/>
      <c r="BGV75" s="115"/>
      <c r="BGW75" s="18"/>
      <c r="BGX75" s="52"/>
      <c r="BGY75" s="53"/>
      <c r="BGZ75" s="54"/>
      <c r="BHA75" s="11"/>
      <c r="BHB75" s="14"/>
      <c r="BHC75" s="113"/>
      <c r="BHD75" s="114"/>
      <c r="BHE75" s="115"/>
      <c r="BHF75" s="18"/>
      <c r="BHG75" s="52"/>
      <c r="BHH75" s="53"/>
      <c r="BHI75" s="54"/>
      <c r="BHJ75" s="11"/>
      <c r="BHK75" s="14"/>
      <c r="BHL75" s="113"/>
      <c r="BHM75" s="114"/>
      <c r="BHN75" s="115"/>
      <c r="BHO75" s="18"/>
      <c r="BHP75" s="52"/>
      <c r="BHQ75" s="53"/>
      <c r="BHR75" s="54"/>
      <c r="BHS75" s="11"/>
      <c r="BHT75" s="14"/>
      <c r="BHU75" s="113"/>
      <c r="BHV75" s="114"/>
      <c r="BHW75" s="115"/>
      <c r="BHX75" s="18"/>
      <c r="BHY75" s="52"/>
      <c r="BHZ75" s="53"/>
      <c r="BIA75" s="54"/>
      <c r="BIB75" s="11"/>
      <c r="BIC75" s="14"/>
      <c r="BID75" s="113"/>
      <c r="BIE75" s="114"/>
      <c r="BIF75" s="115"/>
      <c r="BIG75" s="18"/>
      <c r="BIH75" s="52"/>
      <c r="BII75" s="53"/>
      <c r="BIJ75" s="54"/>
      <c r="BIK75" s="11"/>
      <c r="BIL75" s="14"/>
      <c r="BIM75" s="113"/>
      <c r="BIN75" s="114"/>
      <c r="BIO75" s="115"/>
      <c r="BIP75" s="18"/>
      <c r="BIQ75" s="52"/>
      <c r="BIR75" s="53"/>
      <c r="BIS75" s="54"/>
      <c r="BIT75" s="11"/>
      <c r="BIU75" s="14"/>
      <c r="BIV75" s="113"/>
      <c r="BIW75" s="114"/>
      <c r="BIX75" s="115"/>
      <c r="BIY75" s="18"/>
      <c r="BIZ75" s="52"/>
      <c r="BJA75" s="53"/>
      <c r="BJB75" s="54"/>
      <c r="BJC75" s="11"/>
      <c r="BJD75" s="14"/>
      <c r="BJE75" s="113"/>
      <c r="BJF75" s="114"/>
      <c r="BJG75" s="115"/>
      <c r="BJH75" s="18"/>
      <c r="BJI75" s="52"/>
      <c r="BJJ75" s="53"/>
      <c r="BJK75" s="54"/>
      <c r="BJL75" s="11"/>
      <c r="BJM75" s="14"/>
      <c r="BJN75" s="113"/>
      <c r="BJO75" s="114"/>
      <c r="BJP75" s="115"/>
      <c r="BJQ75" s="18"/>
      <c r="BJR75" s="52"/>
      <c r="BJS75" s="53"/>
      <c r="BJT75" s="54"/>
      <c r="BJU75" s="11"/>
      <c r="BJV75" s="14"/>
      <c r="BJW75" s="113"/>
      <c r="BJX75" s="114"/>
      <c r="BJY75" s="115"/>
      <c r="BJZ75" s="18"/>
      <c r="BKA75" s="52"/>
      <c r="BKB75" s="53"/>
      <c r="BKC75" s="54"/>
      <c r="BKD75" s="11"/>
      <c r="BKE75" s="14"/>
      <c r="BKF75" s="113"/>
      <c r="BKG75" s="114"/>
      <c r="BKH75" s="115"/>
      <c r="BKI75" s="18"/>
      <c r="BKJ75" s="52"/>
      <c r="BKK75" s="53"/>
      <c r="BKL75" s="54"/>
      <c r="BKM75" s="11"/>
      <c r="BKN75" s="14"/>
      <c r="BKO75" s="113"/>
      <c r="BKP75" s="114"/>
      <c r="BKQ75" s="115"/>
      <c r="BKR75" s="18"/>
      <c r="BKS75" s="52"/>
      <c r="BKT75" s="53"/>
      <c r="BKU75" s="54"/>
      <c r="BKV75" s="11"/>
      <c r="BKW75" s="14"/>
      <c r="BKX75" s="113"/>
      <c r="BKY75" s="114"/>
      <c r="BKZ75" s="115"/>
      <c r="BLA75" s="18"/>
      <c r="BLB75" s="52"/>
      <c r="BLC75" s="53"/>
      <c r="BLD75" s="54"/>
      <c r="BLE75" s="11"/>
      <c r="BLF75" s="14"/>
      <c r="BLG75" s="113"/>
      <c r="BLH75" s="114"/>
      <c r="BLI75" s="115"/>
      <c r="BLJ75" s="18"/>
      <c r="BLK75" s="52"/>
      <c r="BLL75" s="53"/>
      <c r="BLM75" s="54"/>
      <c r="BLN75" s="11"/>
      <c r="BLO75" s="14"/>
      <c r="BLP75" s="113"/>
      <c r="BLQ75" s="114"/>
      <c r="BLR75" s="115"/>
      <c r="BLS75" s="18"/>
      <c r="BLT75" s="52"/>
      <c r="BLU75" s="53"/>
      <c r="BLV75" s="54"/>
      <c r="BLW75" s="11"/>
      <c r="BLX75" s="14"/>
      <c r="BLY75" s="113"/>
      <c r="BLZ75" s="114"/>
      <c r="BMA75" s="115"/>
      <c r="BMB75" s="18"/>
      <c r="BMC75" s="52"/>
      <c r="BMD75" s="53"/>
      <c r="BME75" s="54"/>
      <c r="BMF75" s="11"/>
      <c r="BMG75" s="14"/>
      <c r="BMH75" s="113"/>
      <c r="BMI75" s="114"/>
      <c r="BMJ75" s="115"/>
      <c r="BMK75" s="18"/>
      <c r="BML75" s="52"/>
      <c r="BMM75" s="53"/>
      <c r="BMN75" s="54"/>
      <c r="BMO75" s="11"/>
      <c r="BMP75" s="14"/>
      <c r="BMQ75" s="113"/>
      <c r="BMR75" s="114"/>
      <c r="BMS75" s="115"/>
      <c r="BMT75" s="18"/>
      <c r="BMU75" s="52"/>
      <c r="BMV75" s="53"/>
      <c r="BMW75" s="54"/>
      <c r="BMX75" s="11"/>
      <c r="BMY75" s="14"/>
      <c r="BMZ75" s="113"/>
      <c r="BNA75" s="114"/>
      <c r="BNB75" s="115"/>
      <c r="BNC75" s="18"/>
      <c r="BND75" s="52"/>
      <c r="BNE75" s="53"/>
      <c r="BNF75" s="54"/>
      <c r="BNG75" s="11"/>
      <c r="BNH75" s="14"/>
      <c r="BNI75" s="113"/>
      <c r="BNJ75" s="114"/>
      <c r="BNK75" s="115"/>
      <c r="BNL75" s="18"/>
      <c r="BNM75" s="52"/>
      <c r="BNN75" s="53"/>
      <c r="BNO75" s="54"/>
      <c r="BNP75" s="11"/>
      <c r="BNQ75" s="14"/>
      <c r="BNR75" s="113"/>
      <c r="BNS75" s="114"/>
      <c r="BNT75" s="115"/>
      <c r="BNU75" s="18"/>
      <c r="BNV75" s="52"/>
      <c r="BNW75" s="53"/>
      <c r="BNX75" s="54"/>
      <c r="BNY75" s="11"/>
      <c r="BNZ75" s="14"/>
      <c r="BOA75" s="113"/>
      <c r="BOB75" s="114"/>
      <c r="BOC75" s="115"/>
      <c r="BOD75" s="18"/>
      <c r="BOE75" s="52"/>
      <c r="BOF75" s="53"/>
      <c r="BOG75" s="54"/>
      <c r="BOH75" s="11"/>
      <c r="BOI75" s="14"/>
      <c r="BOJ75" s="113"/>
      <c r="BOK75" s="114"/>
      <c r="BOL75" s="115"/>
      <c r="BOM75" s="18"/>
      <c r="BON75" s="52"/>
      <c r="BOO75" s="53"/>
      <c r="BOP75" s="54"/>
      <c r="BOQ75" s="11"/>
      <c r="BOR75" s="14"/>
      <c r="BOS75" s="113"/>
      <c r="BOT75" s="114"/>
      <c r="BOU75" s="115"/>
      <c r="BOV75" s="18"/>
      <c r="BOW75" s="52"/>
      <c r="BOX75" s="53"/>
      <c r="BOY75" s="54"/>
      <c r="BOZ75" s="11"/>
      <c r="BPA75" s="14"/>
      <c r="BPB75" s="113"/>
      <c r="BPC75" s="114"/>
      <c r="BPD75" s="115"/>
      <c r="BPE75" s="18"/>
      <c r="BPF75" s="52"/>
      <c r="BPG75" s="53"/>
      <c r="BPH75" s="54"/>
      <c r="BPI75" s="11"/>
      <c r="BPJ75" s="14"/>
      <c r="BPK75" s="113"/>
      <c r="BPL75" s="114"/>
      <c r="BPM75" s="115"/>
      <c r="BPN75" s="18"/>
      <c r="BPO75" s="52"/>
      <c r="BPP75" s="53"/>
      <c r="BPQ75" s="54"/>
      <c r="BPR75" s="11"/>
      <c r="BPS75" s="14"/>
      <c r="BPT75" s="113"/>
      <c r="BPU75" s="114"/>
      <c r="BPV75" s="115"/>
      <c r="BPW75" s="18"/>
      <c r="BPX75" s="52"/>
      <c r="BPY75" s="53"/>
      <c r="BPZ75" s="54"/>
      <c r="BQA75" s="11"/>
      <c r="BQB75" s="14"/>
      <c r="BQC75" s="113"/>
      <c r="BQD75" s="114"/>
      <c r="BQE75" s="115"/>
      <c r="BQF75" s="18"/>
      <c r="BQG75" s="52"/>
      <c r="BQH75" s="53"/>
      <c r="BQI75" s="54"/>
      <c r="BQJ75" s="11"/>
      <c r="BQK75" s="14"/>
      <c r="BQL75" s="113"/>
      <c r="BQM75" s="114"/>
      <c r="BQN75" s="115"/>
      <c r="BQO75" s="18"/>
      <c r="BQP75" s="52"/>
      <c r="BQQ75" s="53"/>
      <c r="BQR75" s="54"/>
      <c r="BQS75" s="11"/>
      <c r="BQT75" s="14"/>
      <c r="BQU75" s="113"/>
      <c r="BQV75" s="114"/>
      <c r="BQW75" s="115"/>
      <c r="BQX75" s="18"/>
      <c r="BQY75" s="52"/>
      <c r="BQZ75" s="53"/>
      <c r="BRA75" s="54"/>
      <c r="BRB75" s="11"/>
      <c r="BRC75" s="14"/>
      <c r="BRD75" s="113"/>
      <c r="BRE75" s="114"/>
      <c r="BRF75" s="115"/>
      <c r="BRG75" s="18"/>
      <c r="BRH75" s="52"/>
      <c r="BRI75" s="53"/>
      <c r="BRJ75" s="54"/>
      <c r="BRK75" s="11"/>
      <c r="BRL75" s="14"/>
      <c r="BRM75" s="113"/>
      <c r="BRN75" s="114"/>
      <c r="BRO75" s="115"/>
      <c r="BRP75" s="18"/>
      <c r="BRQ75" s="52"/>
      <c r="BRR75" s="53"/>
      <c r="BRS75" s="54"/>
      <c r="BRT75" s="11"/>
      <c r="BRU75" s="14"/>
      <c r="BRV75" s="113"/>
      <c r="BRW75" s="114"/>
      <c r="BRX75" s="115"/>
      <c r="BRY75" s="18"/>
      <c r="BRZ75" s="52"/>
      <c r="BSA75" s="53"/>
      <c r="BSB75" s="54"/>
      <c r="BSC75" s="11"/>
      <c r="BSD75" s="14"/>
      <c r="BSE75" s="113"/>
      <c r="BSF75" s="114"/>
      <c r="BSG75" s="115"/>
      <c r="BSH75" s="18"/>
      <c r="BSI75" s="52"/>
      <c r="BSJ75" s="53"/>
      <c r="BSK75" s="54"/>
      <c r="BSL75" s="11"/>
      <c r="BSM75" s="14"/>
      <c r="BSN75" s="113"/>
      <c r="BSO75" s="114"/>
      <c r="BSP75" s="115"/>
      <c r="BSQ75" s="18"/>
      <c r="BSR75" s="52"/>
      <c r="BSS75" s="53"/>
      <c r="BST75" s="54"/>
      <c r="BSU75" s="11"/>
      <c r="BSV75" s="14"/>
      <c r="BSW75" s="113"/>
      <c r="BSX75" s="114"/>
      <c r="BSY75" s="115"/>
      <c r="BSZ75" s="18"/>
      <c r="BTA75" s="52"/>
      <c r="BTB75" s="53"/>
      <c r="BTC75" s="54"/>
      <c r="BTD75" s="11"/>
      <c r="BTE75" s="14"/>
      <c r="BTF75" s="113"/>
      <c r="BTG75" s="114"/>
      <c r="BTH75" s="115"/>
      <c r="BTI75" s="18"/>
      <c r="BTJ75" s="52"/>
      <c r="BTK75" s="53"/>
      <c r="BTL75" s="54"/>
      <c r="BTM75" s="11"/>
      <c r="BTN75" s="14"/>
      <c r="BTO75" s="113"/>
      <c r="BTP75" s="114"/>
      <c r="BTQ75" s="115"/>
      <c r="BTR75" s="18"/>
      <c r="BTS75" s="52"/>
      <c r="BTT75" s="53"/>
      <c r="BTU75" s="54"/>
      <c r="BTV75" s="11"/>
      <c r="BTW75" s="14"/>
      <c r="BTX75" s="113"/>
      <c r="BTY75" s="114"/>
      <c r="BTZ75" s="115"/>
      <c r="BUA75" s="18"/>
      <c r="BUB75" s="52"/>
      <c r="BUC75" s="53"/>
      <c r="BUD75" s="54"/>
      <c r="BUE75" s="11"/>
      <c r="BUF75" s="14"/>
      <c r="BUG75" s="113"/>
      <c r="BUH75" s="114"/>
      <c r="BUI75" s="115"/>
      <c r="BUJ75" s="18"/>
      <c r="BUK75" s="52"/>
      <c r="BUL75" s="53"/>
      <c r="BUM75" s="54"/>
      <c r="BUN75" s="11"/>
      <c r="BUO75" s="14"/>
      <c r="BUP75" s="113"/>
      <c r="BUQ75" s="114"/>
      <c r="BUR75" s="115"/>
      <c r="BUS75" s="18"/>
      <c r="BUT75" s="52"/>
      <c r="BUU75" s="53"/>
      <c r="BUV75" s="54"/>
      <c r="BUW75" s="11"/>
      <c r="BUX75" s="14"/>
      <c r="BUY75" s="113"/>
      <c r="BUZ75" s="114"/>
      <c r="BVA75" s="115"/>
      <c r="BVB75" s="18"/>
      <c r="BVC75" s="52"/>
      <c r="BVD75" s="53"/>
      <c r="BVE75" s="54"/>
      <c r="BVF75" s="11"/>
      <c r="BVG75" s="14"/>
      <c r="BVH75" s="113"/>
      <c r="BVI75" s="114"/>
      <c r="BVJ75" s="115"/>
      <c r="BVK75" s="18"/>
      <c r="BVL75" s="52"/>
      <c r="BVM75" s="53"/>
      <c r="BVN75" s="54"/>
      <c r="BVO75" s="11"/>
      <c r="BVP75" s="14"/>
      <c r="BVQ75" s="113"/>
      <c r="BVR75" s="114"/>
      <c r="BVS75" s="115"/>
      <c r="BVT75" s="18"/>
      <c r="BVU75" s="52"/>
      <c r="BVV75" s="53"/>
      <c r="BVW75" s="54"/>
      <c r="BVX75" s="11"/>
      <c r="BVY75" s="14"/>
      <c r="BVZ75" s="113"/>
      <c r="BWA75" s="114"/>
      <c r="BWB75" s="115"/>
      <c r="BWC75" s="18"/>
      <c r="BWD75" s="52"/>
      <c r="BWE75" s="53"/>
      <c r="BWF75" s="54"/>
      <c r="BWG75" s="11"/>
      <c r="BWH75" s="14"/>
      <c r="BWI75" s="113"/>
      <c r="BWJ75" s="114"/>
      <c r="BWK75" s="115"/>
      <c r="BWL75" s="18"/>
      <c r="BWM75" s="52"/>
      <c r="BWN75" s="53"/>
      <c r="BWO75" s="54"/>
      <c r="BWP75" s="11"/>
      <c r="BWQ75" s="14"/>
      <c r="BWR75" s="113"/>
      <c r="BWS75" s="114"/>
      <c r="BWT75" s="115"/>
      <c r="BWU75" s="18"/>
      <c r="BWV75" s="52"/>
      <c r="BWW75" s="53"/>
      <c r="BWX75" s="54"/>
      <c r="BWY75" s="11"/>
      <c r="BWZ75" s="14"/>
      <c r="BXA75" s="113"/>
      <c r="BXB75" s="114"/>
      <c r="BXC75" s="115"/>
      <c r="BXD75" s="18"/>
      <c r="BXE75" s="52"/>
      <c r="BXF75" s="53"/>
      <c r="BXG75" s="54"/>
      <c r="BXH75" s="11"/>
      <c r="BXI75" s="14"/>
      <c r="BXJ75" s="113"/>
      <c r="BXK75" s="114"/>
      <c r="BXL75" s="115"/>
      <c r="BXM75" s="18"/>
      <c r="BXN75" s="52"/>
      <c r="BXO75" s="53"/>
      <c r="BXP75" s="54"/>
      <c r="BXQ75" s="11"/>
      <c r="BXR75" s="14"/>
      <c r="BXS75" s="113"/>
      <c r="BXT75" s="114"/>
      <c r="BXU75" s="115"/>
      <c r="BXV75" s="18"/>
      <c r="BXW75" s="52"/>
      <c r="BXX75" s="53"/>
      <c r="BXY75" s="54"/>
      <c r="BXZ75" s="11"/>
      <c r="BYA75" s="14"/>
      <c r="BYB75" s="113"/>
      <c r="BYC75" s="114"/>
      <c r="BYD75" s="115"/>
      <c r="BYE75" s="18"/>
      <c r="BYF75" s="52"/>
      <c r="BYG75" s="53"/>
      <c r="BYH75" s="54"/>
      <c r="BYI75" s="11"/>
      <c r="BYJ75" s="14"/>
      <c r="BYK75" s="113"/>
      <c r="BYL75" s="114"/>
      <c r="BYM75" s="115"/>
      <c r="BYN75" s="18"/>
      <c r="BYO75" s="52"/>
      <c r="BYP75" s="53"/>
      <c r="BYQ75" s="54"/>
      <c r="BYR75" s="11"/>
      <c r="BYS75" s="14"/>
      <c r="BYT75" s="113"/>
      <c r="BYU75" s="114"/>
      <c r="BYV75" s="115"/>
      <c r="BYW75" s="18"/>
      <c r="BYX75" s="52"/>
      <c r="BYY75" s="53"/>
      <c r="BYZ75" s="54"/>
      <c r="BZA75" s="11"/>
      <c r="BZB75" s="14"/>
      <c r="BZC75" s="113"/>
      <c r="BZD75" s="114"/>
      <c r="BZE75" s="115"/>
      <c r="BZF75" s="18"/>
      <c r="BZG75" s="52"/>
      <c r="BZH75" s="53"/>
      <c r="BZI75" s="54"/>
      <c r="BZJ75" s="11"/>
      <c r="BZK75" s="14"/>
      <c r="BZL75" s="113"/>
      <c r="BZM75" s="114"/>
      <c r="BZN75" s="115"/>
      <c r="BZO75" s="18"/>
      <c r="BZP75" s="52"/>
      <c r="BZQ75" s="53"/>
      <c r="BZR75" s="54"/>
      <c r="BZS75" s="11"/>
      <c r="BZT75" s="14"/>
      <c r="BZU75" s="113"/>
      <c r="BZV75" s="114"/>
      <c r="BZW75" s="115"/>
      <c r="BZX75" s="18"/>
      <c r="BZY75" s="52"/>
      <c r="BZZ75" s="53"/>
      <c r="CAA75" s="54"/>
      <c r="CAB75" s="11"/>
      <c r="CAC75" s="14"/>
      <c r="CAD75" s="113"/>
      <c r="CAE75" s="114"/>
      <c r="CAF75" s="115"/>
      <c r="CAG75" s="18"/>
      <c r="CAH75" s="52"/>
      <c r="CAI75" s="53"/>
      <c r="CAJ75" s="54"/>
      <c r="CAK75" s="11"/>
      <c r="CAL75" s="14"/>
      <c r="CAM75" s="113"/>
      <c r="CAN75" s="114"/>
      <c r="CAO75" s="115"/>
      <c r="CAP75" s="18"/>
      <c r="CAQ75" s="52"/>
      <c r="CAR75" s="53"/>
      <c r="CAS75" s="54"/>
      <c r="CAT75" s="11"/>
      <c r="CAU75" s="14"/>
      <c r="CAV75" s="113"/>
      <c r="CAW75" s="114"/>
      <c r="CAX75" s="115"/>
      <c r="CAY75" s="18"/>
      <c r="CAZ75" s="52"/>
      <c r="CBA75" s="53"/>
      <c r="CBB75" s="54"/>
      <c r="CBC75" s="11"/>
      <c r="CBD75" s="14"/>
      <c r="CBE75" s="113"/>
      <c r="CBF75" s="114"/>
      <c r="CBG75" s="115"/>
      <c r="CBH75" s="18"/>
      <c r="CBI75" s="52"/>
      <c r="CBJ75" s="53"/>
      <c r="CBK75" s="54"/>
      <c r="CBL75" s="11"/>
      <c r="CBM75" s="14"/>
      <c r="CBN75" s="113"/>
      <c r="CBO75" s="114"/>
      <c r="CBP75" s="115"/>
      <c r="CBQ75" s="18"/>
      <c r="CBR75" s="52"/>
      <c r="CBS75" s="53"/>
      <c r="CBT75" s="54"/>
      <c r="CBU75" s="11"/>
      <c r="CBV75" s="14"/>
      <c r="CBW75" s="113"/>
      <c r="CBX75" s="114"/>
      <c r="CBY75" s="115"/>
      <c r="CBZ75" s="18"/>
      <c r="CCA75" s="52"/>
      <c r="CCB75" s="53"/>
      <c r="CCC75" s="54"/>
      <c r="CCD75" s="11"/>
      <c r="CCE75" s="14"/>
      <c r="CCF75" s="113"/>
      <c r="CCG75" s="114"/>
      <c r="CCH75" s="115"/>
      <c r="CCI75" s="18"/>
      <c r="CCJ75" s="52"/>
      <c r="CCK75" s="53"/>
      <c r="CCL75" s="54"/>
      <c r="CCM75" s="11"/>
      <c r="CCN75" s="14"/>
      <c r="CCO75" s="113"/>
      <c r="CCP75" s="114"/>
      <c r="CCQ75" s="115"/>
      <c r="CCR75" s="18"/>
      <c r="CCS75" s="52"/>
      <c r="CCT75" s="53"/>
      <c r="CCU75" s="54"/>
      <c r="CCV75" s="11"/>
      <c r="CCW75" s="14"/>
      <c r="CCX75" s="113"/>
      <c r="CCY75" s="114"/>
      <c r="CCZ75" s="115"/>
      <c r="CDA75" s="18"/>
      <c r="CDB75" s="52"/>
      <c r="CDC75" s="53"/>
      <c r="CDD75" s="54"/>
      <c r="CDE75" s="11"/>
      <c r="CDF75" s="14"/>
      <c r="CDG75" s="113"/>
      <c r="CDH75" s="114"/>
      <c r="CDI75" s="115"/>
      <c r="CDJ75" s="18"/>
      <c r="CDK75" s="52"/>
      <c r="CDL75" s="53"/>
      <c r="CDM75" s="54"/>
      <c r="CDN75" s="11"/>
      <c r="CDO75" s="14"/>
      <c r="CDP75" s="113"/>
      <c r="CDQ75" s="114"/>
      <c r="CDR75" s="115"/>
      <c r="CDS75" s="18"/>
      <c r="CDT75" s="52"/>
      <c r="CDU75" s="53"/>
      <c r="CDV75" s="54"/>
      <c r="CDW75" s="11"/>
      <c r="CDX75" s="14"/>
      <c r="CDY75" s="113"/>
      <c r="CDZ75" s="114"/>
      <c r="CEA75" s="115"/>
      <c r="CEB75" s="18"/>
      <c r="CEC75" s="52"/>
      <c r="CED75" s="53"/>
      <c r="CEE75" s="54"/>
      <c r="CEF75" s="11"/>
      <c r="CEG75" s="14"/>
      <c r="CEH75" s="113"/>
      <c r="CEI75" s="114"/>
      <c r="CEJ75" s="115"/>
      <c r="CEK75" s="18"/>
      <c r="CEL75" s="52"/>
      <c r="CEM75" s="53"/>
      <c r="CEN75" s="54"/>
      <c r="CEO75" s="11"/>
      <c r="CEP75" s="14"/>
      <c r="CEQ75" s="113"/>
      <c r="CER75" s="114"/>
      <c r="CES75" s="115"/>
      <c r="CET75" s="18"/>
      <c r="CEU75" s="52"/>
      <c r="CEV75" s="53"/>
      <c r="CEW75" s="54"/>
      <c r="CEX75" s="11"/>
      <c r="CEY75" s="14"/>
      <c r="CEZ75" s="113"/>
      <c r="CFA75" s="114"/>
      <c r="CFB75" s="115"/>
      <c r="CFC75" s="18"/>
      <c r="CFD75" s="52"/>
      <c r="CFE75" s="53"/>
      <c r="CFF75" s="54"/>
      <c r="CFG75" s="11"/>
      <c r="CFH75" s="14"/>
      <c r="CFI75" s="113"/>
      <c r="CFJ75" s="114"/>
      <c r="CFK75" s="115"/>
      <c r="CFL75" s="18"/>
      <c r="CFM75" s="52"/>
      <c r="CFN75" s="53"/>
      <c r="CFO75" s="54"/>
      <c r="CFP75" s="11"/>
      <c r="CFQ75" s="14"/>
      <c r="CFR75" s="113"/>
      <c r="CFS75" s="114"/>
      <c r="CFT75" s="115"/>
      <c r="CFU75" s="18"/>
      <c r="CFV75" s="52"/>
      <c r="CFW75" s="53"/>
      <c r="CFX75" s="54"/>
      <c r="CFY75" s="11"/>
      <c r="CFZ75" s="14"/>
      <c r="CGA75" s="113"/>
      <c r="CGB75" s="114"/>
      <c r="CGC75" s="115"/>
      <c r="CGD75" s="18"/>
      <c r="CGE75" s="52"/>
      <c r="CGF75" s="53"/>
      <c r="CGG75" s="54"/>
      <c r="CGH75" s="11"/>
      <c r="CGI75" s="14"/>
      <c r="CGJ75" s="113"/>
      <c r="CGK75" s="114"/>
      <c r="CGL75" s="115"/>
      <c r="CGM75" s="18"/>
      <c r="CGN75" s="52"/>
      <c r="CGO75" s="53"/>
      <c r="CGP75" s="54"/>
      <c r="CGQ75" s="11"/>
      <c r="CGR75" s="14"/>
      <c r="CGS75" s="113"/>
      <c r="CGT75" s="114"/>
      <c r="CGU75" s="115"/>
      <c r="CGV75" s="18"/>
      <c r="CGW75" s="52"/>
      <c r="CGX75" s="53"/>
      <c r="CGY75" s="54"/>
      <c r="CGZ75" s="11"/>
      <c r="CHA75" s="14"/>
      <c r="CHB75" s="113"/>
      <c r="CHC75" s="114"/>
      <c r="CHD75" s="115"/>
      <c r="CHE75" s="18"/>
      <c r="CHF75" s="52"/>
      <c r="CHG75" s="53"/>
      <c r="CHH75" s="54"/>
      <c r="CHI75" s="11"/>
      <c r="CHJ75" s="14"/>
      <c r="CHK75" s="113"/>
      <c r="CHL75" s="114"/>
      <c r="CHM75" s="115"/>
      <c r="CHN75" s="18"/>
      <c r="CHO75" s="52"/>
      <c r="CHP75" s="53"/>
      <c r="CHQ75" s="54"/>
      <c r="CHR75" s="11"/>
      <c r="CHS75" s="14"/>
      <c r="CHT75" s="113"/>
      <c r="CHU75" s="114"/>
      <c r="CHV75" s="115"/>
      <c r="CHW75" s="18"/>
      <c r="CHX75" s="52"/>
      <c r="CHY75" s="53"/>
      <c r="CHZ75" s="54"/>
      <c r="CIA75" s="11"/>
      <c r="CIB75" s="14"/>
      <c r="CIC75" s="113"/>
      <c r="CID75" s="114"/>
      <c r="CIE75" s="115"/>
      <c r="CIF75" s="18"/>
      <c r="CIG75" s="52"/>
      <c r="CIH75" s="53"/>
      <c r="CII75" s="54"/>
      <c r="CIJ75" s="11"/>
      <c r="CIK75" s="14"/>
      <c r="CIL75" s="113"/>
      <c r="CIM75" s="114"/>
      <c r="CIN75" s="115"/>
      <c r="CIO75" s="18"/>
      <c r="CIP75" s="52"/>
      <c r="CIQ75" s="53"/>
      <c r="CIR75" s="54"/>
      <c r="CIS75" s="11"/>
      <c r="CIT75" s="14"/>
      <c r="CIU75" s="113"/>
      <c r="CIV75" s="114"/>
      <c r="CIW75" s="115"/>
      <c r="CIX75" s="18"/>
      <c r="CIY75" s="52"/>
      <c r="CIZ75" s="53"/>
      <c r="CJA75" s="54"/>
      <c r="CJB75" s="11"/>
      <c r="CJC75" s="14"/>
      <c r="CJD75" s="113"/>
      <c r="CJE75" s="114"/>
      <c r="CJF75" s="115"/>
      <c r="CJG75" s="18"/>
      <c r="CJH75" s="52"/>
      <c r="CJI75" s="53"/>
      <c r="CJJ75" s="54"/>
      <c r="CJK75" s="11"/>
      <c r="CJL75" s="14"/>
      <c r="CJM75" s="113"/>
      <c r="CJN75" s="114"/>
      <c r="CJO75" s="115"/>
      <c r="CJP75" s="18"/>
      <c r="CJQ75" s="52"/>
      <c r="CJR75" s="53"/>
      <c r="CJS75" s="54"/>
      <c r="CJT75" s="11"/>
      <c r="CJU75" s="14"/>
      <c r="CJV75" s="113"/>
      <c r="CJW75" s="114"/>
      <c r="CJX75" s="115"/>
      <c r="CJY75" s="18"/>
      <c r="CJZ75" s="52"/>
      <c r="CKA75" s="53"/>
      <c r="CKB75" s="54"/>
      <c r="CKC75" s="11"/>
      <c r="CKD75" s="14"/>
      <c r="CKE75" s="113"/>
      <c r="CKF75" s="114"/>
      <c r="CKG75" s="115"/>
      <c r="CKH75" s="18"/>
      <c r="CKI75" s="52"/>
      <c r="CKJ75" s="53"/>
      <c r="CKK75" s="54"/>
      <c r="CKL75" s="11"/>
      <c r="CKM75" s="14"/>
      <c r="CKN75" s="113"/>
      <c r="CKO75" s="114"/>
      <c r="CKP75" s="115"/>
      <c r="CKQ75" s="18"/>
      <c r="CKR75" s="52"/>
      <c r="CKS75" s="53"/>
      <c r="CKT75" s="54"/>
      <c r="CKU75" s="11"/>
      <c r="CKV75" s="14"/>
      <c r="CKW75" s="113"/>
      <c r="CKX75" s="114"/>
      <c r="CKY75" s="115"/>
      <c r="CKZ75" s="18"/>
      <c r="CLA75" s="52"/>
      <c r="CLB75" s="53"/>
      <c r="CLC75" s="54"/>
      <c r="CLD75" s="11"/>
      <c r="CLE75" s="14"/>
      <c r="CLF75" s="113"/>
      <c r="CLG75" s="114"/>
      <c r="CLH75" s="115"/>
      <c r="CLI75" s="18"/>
      <c r="CLJ75" s="52"/>
      <c r="CLK75" s="53"/>
      <c r="CLL75" s="54"/>
      <c r="CLM75" s="11"/>
      <c r="CLN75" s="14"/>
      <c r="CLO75" s="113"/>
      <c r="CLP75" s="114"/>
      <c r="CLQ75" s="115"/>
      <c r="CLR75" s="18"/>
      <c r="CLS75" s="52"/>
      <c r="CLT75" s="53"/>
      <c r="CLU75" s="54"/>
      <c r="CLV75" s="11"/>
      <c r="CLW75" s="14"/>
      <c r="CLX75" s="113"/>
      <c r="CLY75" s="114"/>
      <c r="CLZ75" s="115"/>
      <c r="CMA75" s="18"/>
      <c r="CMB75" s="52"/>
      <c r="CMC75" s="53"/>
      <c r="CMD75" s="54"/>
      <c r="CME75" s="11"/>
      <c r="CMF75" s="14"/>
      <c r="CMG75" s="113"/>
      <c r="CMH75" s="114"/>
      <c r="CMI75" s="115"/>
      <c r="CMJ75" s="18"/>
      <c r="CMK75" s="52"/>
      <c r="CML75" s="53"/>
      <c r="CMM75" s="54"/>
      <c r="CMN75" s="11"/>
      <c r="CMO75" s="14"/>
      <c r="CMP75" s="113"/>
      <c r="CMQ75" s="114"/>
      <c r="CMR75" s="115"/>
      <c r="CMS75" s="18"/>
      <c r="CMT75" s="52"/>
      <c r="CMU75" s="53"/>
      <c r="CMV75" s="54"/>
      <c r="CMW75" s="11"/>
      <c r="CMX75" s="14"/>
      <c r="CMY75" s="113"/>
      <c r="CMZ75" s="114"/>
      <c r="CNA75" s="115"/>
      <c r="CNB75" s="18"/>
      <c r="CNC75" s="52"/>
      <c r="CND75" s="53"/>
      <c r="CNE75" s="54"/>
      <c r="CNF75" s="11"/>
      <c r="CNG75" s="14"/>
      <c r="CNH75" s="113"/>
      <c r="CNI75" s="114"/>
      <c r="CNJ75" s="115"/>
      <c r="CNK75" s="18"/>
      <c r="CNL75" s="52"/>
      <c r="CNM75" s="53"/>
      <c r="CNN75" s="54"/>
      <c r="CNO75" s="11"/>
      <c r="CNP75" s="14"/>
      <c r="CNQ75" s="113"/>
      <c r="CNR75" s="114"/>
      <c r="CNS75" s="115"/>
      <c r="CNT75" s="18"/>
      <c r="CNU75" s="52"/>
      <c r="CNV75" s="53"/>
      <c r="CNW75" s="54"/>
      <c r="CNX75" s="11"/>
      <c r="CNY75" s="14"/>
      <c r="CNZ75" s="113"/>
      <c r="COA75" s="114"/>
      <c r="COB75" s="115"/>
      <c r="COC75" s="18"/>
      <c r="COD75" s="52"/>
      <c r="COE75" s="53"/>
      <c r="COF75" s="54"/>
      <c r="COG75" s="11"/>
      <c r="COH75" s="14"/>
      <c r="COI75" s="113"/>
      <c r="COJ75" s="114"/>
      <c r="COK75" s="115"/>
      <c r="COL75" s="18"/>
      <c r="COM75" s="52"/>
      <c r="CON75" s="53"/>
      <c r="COO75" s="54"/>
      <c r="COP75" s="11"/>
      <c r="COQ75" s="14"/>
      <c r="COR75" s="113"/>
      <c r="COS75" s="114"/>
      <c r="COT75" s="115"/>
      <c r="COU75" s="18"/>
      <c r="COV75" s="52"/>
      <c r="COW75" s="53"/>
      <c r="COX75" s="54"/>
      <c r="COY75" s="11"/>
      <c r="COZ75" s="14"/>
      <c r="CPA75" s="113"/>
      <c r="CPB75" s="114"/>
      <c r="CPC75" s="115"/>
      <c r="CPD75" s="18"/>
      <c r="CPE75" s="52"/>
      <c r="CPF75" s="53"/>
      <c r="CPG75" s="54"/>
      <c r="CPH75" s="11"/>
      <c r="CPI75" s="14"/>
      <c r="CPJ75" s="113"/>
      <c r="CPK75" s="114"/>
      <c r="CPL75" s="115"/>
      <c r="CPM75" s="18"/>
      <c r="CPN75" s="52"/>
      <c r="CPO75" s="53"/>
      <c r="CPP75" s="54"/>
      <c r="CPQ75" s="11"/>
      <c r="CPR75" s="14"/>
      <c r="CPS75" s="113"/>
      <c r="CPT75" s="114"/>
      <c r="CPU75" s="115"/>
      <c r="CPV75" s="18"/>
      <c r="CPW75" s="52"/>
      <c r="CPX75" s="53"/>
      <c r="CPY75" s="54"/>
      <c r="CPZ75" s="11"/>
      <c r="CQA75" s="14"/>
      <c r="CQB75" s="113"/>
      <c r="CQC75" s="114"/>
      <c r="CQD75" s="115"/>
      <c r="CQE75" s="18"/>
      <c r="CQF75" s="52"/>
      <c r="CQG75" s="53"/>
      <c r="CQH75" s="54"/>
      <c r="CQI75" s="11"/>
      <c r="CQJ75" s="14"/>
      <c r="CQK75" s="113"/>
      <c r="CQL75" s="114"/>
      <c r="CQM75" s="115"/>
      <c r="CQN75" s="18"/>
      <c r="CQO75" s="52"/>
      <c r="CQP75" s="53"/>
      <c r="CQQ75" s="54"/>
      <c r="CQR75" s="11"/>
      <c r="CQS75" s="14"/>
      <c r="CQT75" s="113"/>
      <c r="CQU75" s="114"/>
      <c r="CQV75" s="115"/>
      <c r="CQW75" s="18"/>
      <c r="CQX75" s="52"/>
      <c r="CQY75" s="53"/>
      <c r="CQZ75" s="54"/>
      <c r="CRA75" s="11"/>
      <c r="CRB75" s="14"/>
      <c r="CRC75" s="113"/>
      <c r="CRD75" s="114"/>
      <c r="CRE75" s="115"/>
      <c r="CRF75" s="18"/>
      <c r="CRG75" s="52"/>
      <c r="CRH75" s="53"/>
      <c r="CRI75" s="54"/>
      <c r="CRJ75" s="11"/>
      <c r="CRK75" s="14"/>
      <c r="CRL75" s="113"/>
      <c r="CRM75" s="114"/>
      <c r="CRN75" s="115"/>
      <c r="CRO75" s="18"/>
      <c r="CRP75" s="52"/>
      <c r="CRQ75" s="53"/>
      <c r="CRR75" s="54"/>
      <c r="CRS75" s="11"/>
      <c r="CRT75" s="14"/>
      <c r="CRU75" s="113"/>
      <c r="CRV75" s="114"/>
      <c r="CRW75" s="115"/>
      <c r="CRX75" s="18"/>
      <c r="CRY75" s="52"/>
      <c r="CRZ75" s="53"/>
      <c r="CSA75" s="54"/>
      <c r="CSB75" s="11"/>
      <c r="CSC75" s="14"/>
      <c r="CSD75" s="113"/>
      <c r="CSE75" s="114"/>
      <c r="CSF75" s="115"/>
      <c r="CSG75" s="18"/>
      <c r="CSH75" s="52"/>
      <c r="CSI75" s="53"/>
      <c r="CSJ75" s="54"/>
      <c r="CSK75" s="11"/>
      <c r="CSL75" s="14"/>
      <c r="CSM75" s="113"/>
      <c r="CSN75" s="114"/>
      <c r="CSO75" s="115"/>
      <c r="CSP75" s="18"/>
      <c r="CSQ75" s="52"/>
      <c r="CSR75" s="53"/>
      <c r="CSS75" s="54"/>
      <c r="CST75" s="11"/>
      <c r="CSU75" s="14"/>
      <c r="CSV75" s="113"/>
      <c r="CSW75" s="114"/>
      <c r="CSX75" s="115"/>
      <c r="CSY75" s="18"/>
      <c r="CSZ75" s="52"/>
      <c r="CTA75" s="53"/>
      <c r="CTB75" s="54"/>
      <c r="CTC75" s="11"/>
      <c r="CTD75" s="14"/>
      <c r="CTE75" s="113"/>
      <c r="CTF75" s="114"/>
      <c r="CTG75" s="115"/>
      <c r="CTH75" s="18"/>
      <c r="CTI75" s="52"/>
      <c r="CTJ75" s="53"/>
      <c r="CTK75" s="54"/>
      <c r="CTL75" s="11"/>
      <c r="CTM75" s="14"/>
      <c r="CTN75" s="113"/>
      <c r="CTO75" s="114"/>
      <c r="CTP75" s="115"/>
      <c r="CTQ75" s="18"/>
      <c r="CTR75" s="52"/>
      <c r="CTS75" s="53"/>
      <c r="CTT75" s="54"/>
      <c r="CTU75" s="11"/>
      <c r="CTV75" s="14"/>
      <c r="CTW75" s="113"/>
      <c r="CTX75" s="114"/>
      <c r="CTY75" s="115"/>
      <c r="CTZ75" s="18"/>
      <c r="CUA75" s="52"/>
      <c r="CUB75" s="53"/>
      <c r="CUC75" s="54"/>
      <c r="CUD75" s="11"/>
      <c r="CUE75" s="14"/>
      <c r="CUF75" s="113"/>
      <c r="CUG75" s="114"/>
      <c r="CUH75" s="115"/>
      <c r="CUI75" s="18"/>
      <c r="CUJ75" s="52"/>
      <c r="CUK75" s="53"/>
      <c r="CUL75" s="54"/>
      <c r="CUM75" s="11"/>
      <c r="CUN75" s="14"/>
      <c r="CUO75" s="113"/>
      <c r="CUP75" s="114"/>
      <c r="CUQ75" s="115"/>
      <c r="CUR75" s="18"/>
      <c r="CUS75" s="52"/>
      <c r="CUT75" s="53"/>
      <c r="CUU75" s="54"/>
      <c r="CUV75" s="11"/>
      <c r="CUW75" s="14"/>
      <c r="CUX75" s="113"/>
      <c r="CUY75" s="114"/>
      <c r="CUZ75" s="115"/>
      <c r="CVA75" s="18"/>
      <c r="CVB75" s="52"/>
      <c r="CVC75" s="53"/>
      <c r="CVD75" s="54"/>
      <c r="CVE75" s="11"/>
      <c r="CVF75" s="14"/>
      <c r="CVG75" s="113"/>
      <c r="CVH75" s="114"/>
      <c r="CVI75" s="115"/>
      <c r="CVJ75" s="18"/>
      <c r="CVK75" s="52"/>
      <c r="CVL75" s="53"/>
      <c r="CVM75" s="54"/>
      <c r="CVN75" s="11"/>
      <c r="CVO75" s="14"/>
      <c r="CVP75" s="113"/>
      <c r="CVQ75" s="114"/>
      <c r="CVR75" s="115"/>
      <c r="CVS75" s="18"/>
      <c r="CVT75" s="52"/>
      <c r="CVU75" s="53"/>
      <c r="CVV75" s="54"/>
      <c r="CVW75" s="11"/>
      <c r="CVX75" s="14"/>
      <c r="CVY75" s="113"/>
      <c r="CVZ75" s="114"/>
      <c r="CWA75" s="115"/>
      <c r="CWB75" s="18"/>
      <c r="CWC75" s="52"/>
      <c r="CWD75" s="53"/>
      <c r="CWE75" s="54"/>
      <c r="CWF75" s="11"/>
      <c r="CWG75" s="14"/>
      <c r="CWH75" s="113"/>
      <c r="CWI75" s="114"/>
      <c r="CWJ75" s="115"/>
      <c r="CWK75" s="18"/>
      <c r="CWL75" s="52"/>
      <c r="CWM75" s="53"/>
      <c r="CWN75" s="54"/>
      <c r="CWO75" s="11"/>
      <c r="CWP75" s="14"/>
      <c r="CWQ75" s="113"/>
      <c r="CWR75" s="114"/>
      <c r="CWS75" s="115"/>
      <c r="CWT75" s="18"/>
      <c r="CWU75" s="52"/>
      <c r="CWV75" s="53"/>
      <c r="CWW75" s="54"/>
      <c r="CWX75" s="11"/>
      <c r="CWY75" s="14"/>
      <c r="CWZ75" s="113"/>
      <c r="CXA75" s="114"/>
      <c r="CXB75" s="115"/>
      <c r="CXC75" s="18"/>
      <c r="CXD75" s="52"/>
      <c r="CXE75" s="53"/>
      <c r="CXF75" s="54"/>
      <c r="CXG75" s="11"/>
      <c r="CXH75" s="14"/>
      <c r="CXI75" s="113"/>
      <c r="CXJ75" s="114"/>
      <c r="CXK75" s="115"/>
      <c r="CXL75" s="18"/>
      <c r="CXM75" s="52"/>
      <c r="CXN75" s="53"/>
      <c r="CXO75" s="54"/>
      <c r="CXP75" s="11"/>
      <c r="CXQ75" s="14"/>
      <c r="CXR75" s="113"/>
      <c r="CXS75" s="114"/>
      <c r="CXT75" s="115"/>
      <c r="CXU75" s="18"/>
      <c r="CXV75" s="52"/>
      <c r="CXW75" s="53"/>
      <c r="CXX75" s="54"/>
      <c r="CXY75" s="11"/>
      <c r="CXZ75" s="14"/>
      <c r="CYA75" s="113"/>
      <c r="CYB75" s="114"/>
      <c r="CYC75" s="115"/>
      <c r="CYD75" s="18"/>
      <c r="CYE75" s="52"/>
      <c r="CYF75" s="53"/>
      <c r="CYG75" s="54"/>
      <c r="CYH75" s="11"/>
      <c r="CYI75" s="14"/>
      <c r="CYJ75" s="113"/>
      <c r="CYK75" s="114"/>
      <c r="CYL75" s="115"/>
      <c r="CYM75" s="18"/>
      <c r="CYN75" s="52"/>
      <c r="CYO75" s="53"/>
      <c r="CYP75" s="54"/>
      <c r="CYQ75" s="11"/>
      <c r="CYR75" s="14"/>
      <c r="CYS75" s="113"/>
      <c r="CYT75" s="114"/>
      <c r="CYU75" s="115"/>
      <c r="CYV75" s="18"/>
      <c r="CYW75" s="52"/>
      <c r="CYX75" s="53"/>
      <c r="CYY75" s="54"/>
      <c r="CYZ75" s="11"/>
      <c r="CZA75" s="14"/>
      <c r="CZB75" s="113"/>
      <c r="CZC75" s="114"/>
      <c r="CZD75" s="115"/>
      <c r="CZE75" s="18"/>
      <c r="CZF75" s="52"/>
      <c r="CZG75" s="53"/>
      <c r="CZH75" s="54"/>
      <c r="CZI75" s="11"/>
      <c r="CZJ75" s="14"/>
      <c r="CZK75" s="113"/>
      <c r="CZL75" s="114"/>
      <c r="CZM75" s="115"/>
      <c r="CZN75" s="18"/>
      <c r="CZO75" s="52"/>
      <c r="CZP75" s="53"/>
      <c r="CZQ75" s="54"/>
      <c r="CZR75" s="11"/>
      <c r="CZS75" s="14"/>
      <c r="CZT75" s="113"/>
      <c r="CZU75" s="114"/>
      <c r="CZV75" s="115"/>
      <c r="CZW75" s="18"/>
      <c r="CZX75" s="52"/>
      <c r="CZY75" s="53"/>
      <c r="CZZ75" s="54"/>
      <c r="DAA75" s="11"/>
      <c r="DAB75" s="14"/>
      <c r="DAC75" s="113"/>
      <c r="DAD75" s="114"/>
      <c r="DAE75" s="115"/>
      <c r="DAF75" s="18"/>
      <c r="DAG75" s="52"/>
      <c r="DAH75" s="53"/>
      <c r="DAI75" s="54"/>
      <c r="DAJ75" s="11"/>
      <c r="DAK75" s="14"/>
      <c r="DAL75" s="113"/>
      <c r="DAM75" s="114"/>
      <c r="DAN75" s="115"/>
      <c r="DAO75" s="18"/>
      <c r="DAP75" s="52"/>
      <c r="DAQ75" s="53"/>
      <c r="DAR75" s="54"/>
      <c r="DAS75" s="11"/>
      <c r="DAT75" s="14"/>
      <c r="DAU75" s="113"/>
      <c r="DAV75" s="114"/>
      <c r="DAW75" s="115"/>
      <c r="DAX75" s="18"/>
      <c r="DAY75" s="52"/>
      <c r="DAZ75" s="53"/>
      <c r="DBA75" s="54"/>
      <c r="DBB75" s="11"/>
      <c r="DBC75" s="14"/>
      <c r="DBD75" s="113"/>
      <c r="DBE75" s="114"/>
      <c r="DBF75" s="115"/>
      <c r="DBG75" s="18"/>
      <c r="DBH75" s="52"/>
      <c r="DBI75" s="53"/>
      <c r="DBJ75" s="54"/>
      <c r="DBK75" s="11"/>
      <c r="DBL75" s="14"/>
      <c r="DBM75" s="113"/>
      <c r="DBN75" s="114"/>
      <c r="DBO75" s="115"/>
      <c r="DBP75" s="18"/>
      <c r="DBQ75" s="52"/>
      <c r="DBR75" s="53"/>
      <c r="DBS75" s="54"/>
      <c r="DBT75" s="11"/>
      <c r="DBU75" s="14"/>
      <c r="DBV75" s="113"/>
      <c r="DBW75" s="114"/>
      <c r="DBX75" s="115"/>
      <c r="DBY75" s="18"/>
      <c r="DBZ75" s="52"/>
      <c r="DCA75" s="53"/>
      <c r="DCB75" s="54"/>
      <c r="DCC75" s="11"/>
      <c r="DCD75" s="14"/>
      <c r="DCE75" s="113"/>
      <c r="DCF75" s="114"/>
      <c r="DCG75" s="115"/>
      <c r="DCH75" s="18"/>
      <c r="DCI75" s="52"/>
      <c r="DCJ75" s="53"/>
      <c r="DCK75" s="54"/>
      <c r="DCL75" s="11"/>
      <c r="DCM75" s="14"/>
      <c r="DCN75" s="113"/>
      <c r="DCO75" s="114"/>
      <c r="DCP75" s="115"/>
      <c r="DCQ75" s="18"/>
      <c r="DCR75" s="52"/>
      <c r="DCS75" s="53"/>
      <c r="DCT75" s="54"/>
      <c r="DCU75" s="11"/>
      <c r="DCV75" s="14"/>
      <c r="DCW75" s="113"/>
      <c r="DCX75" s="114"/>
      <c r="DCY75" s="115"/>
      <c r="DCZ75" s="18"/>
      <c r="DDA75" s="52"/>
      <c r="DDB75" s="53"/>
      <c r="DDC75" s="54"/>
      <c r="DDD75" s="11"/>
      <c r="DDE75" s="14"/>
      <c r="DDF75" s="113"/>
      <c r="DDG75" s="114"/>
      <c r="DDH75" s="115"/>
      <c r="DDI75" s="18"/>
      <c r="DDJ75" s="52"/>
      <c r="DDK75" s="53"/>
      <c r="DDL75" s="54"/>
      <c r="DDM75" s="11"/>
      <c r="DDN75" s="14"/>
      <c r="DDO75" s="113"/>
      <c r="DDP75" s="114"/>
      <c r="DDQ75" s="115"/>
      <c r="DDR75" s="18"/>
      <c r="DDS75" s="52"/>
      <c r="DDT75" s="53"/>
      <c r="DDU75" s="54"/>
      <c r="DDV75" s="11"/>
      <c r="DDW75" s="14"/>
      <c r="DDX75" s="113"/>
      <c r="DDY75" s="114"/>
      <c r="DDZ75" s="115"/>
      <c r="DEA75" s="18"/>
      <c r="DEB75" s="52"/>
      <c r="DEC75" s="53"/>
      <c r="DED75" s="54"/>
      <c r="DEE75" s="11"/>
      <c r="DEF75" s="14"/>
      <c r="DEG75" s="113"/>
      <c r="DEH75" s="114"/>
      <c r="DEI75" s="115"/>
      <c r="DEJ75" s="18"/>
      <c r="DEK75" s="52"/>
      <c r="DEL75" s="53"/>
      <c r="DEM75" s="54"/>
      <c r="DEN75" s="11"/>
      <c r="DEO75" s="14"/>
      <c r="DEP75" s="113"/>
      <c r="DEQ75" s="114"/>
      <c r="DER75" s="115"/>
      <c r="DES75" s="18"/>
      <c r="DET75" s="52"/>
      <c r="DEU75" s="53"/>
      <c r="DEV75" s="54"/>
      <c r="DEW75" s="11"/>
      <c r="DEX75" s="14"/>
      <c r="DEY75" s="113"/>
      <c r="DEZ75" s="114"/>
      <c r="DFA75" s="115"/>
      <c r="DFB75" s="18"/>
      <c r="DFC75" s="52"/>
      <c r="DFD75" s="53"/>
      <c r="DFE75" s="54"/>
      <c r="DFF75" s="11"/>
      <c r="DFG75" s="14"/>
      <c r="DFH75" s="113"/>
      <c r="DFI75" s="114"/>
      <c r="DFJ75" s="115"/>
      <c r="DFK75" s="18"/>
      <c r="DFL75" s="52"/>
      <c r="DFM75" s="53"/>
      <c r="DFN75" s="54"/>
      <c r="DFO75" s="11"/>
      <c r="DFP75" s="14"/>
      <c r="DFQ75" s="113"/>
      <c r="DFR75" s="114"/>
      <c r="DFS75" s="115"/>
      <c r="DFT75" s="18"/>
      <c r="DFU75" s="52"/>
      <c r="DFV75" s="53"/>
      <c r="DFW75" s="54"/>
      <c r="DFX75" s="11"/>
      <c r="DFY75" s="14"/>
      <c r="DFZ75" s="113"/>
      <c r="DGA75" s="114"/>
      <c r="DGB75" s="115"/>
      <c r="DGC75" s="18"/>
      <c r="DGD75" s="52"/>
      <c r="DGE75" s="53"/>
      <c r="DGF75" s="54"/>
      <c r="DGG75" s="11"/>
      <c r="DGH75" s="14"/>
      <c r="DGI75" s="113"/>
      <c r="DGJ75" s="114"/>
      <c r="DGK75" s="115"/>
      <c r="DGL75" s="18"/>
      <c r="DGM75" s="52"/>
      <c r="DGN75" s="53"/>
      <c r="DGO75" s="54"/>
      <c r="DGP75" s="11"/>
      <c r="DGQ75" s="14"/>
      <c r="DGR75" s="113"/>
      <c r="DGS75" s="114"/>
      <c r="DGT75" s="115"/>
      <c r="DGU75" s="18"/>
      <c r="DGV75" s="52"/>
      <c r="DGW75" s="53"/>
      <c r="DGX75" s="54"/>
      <c r="DGY75" s="11"/>
      <c r="DGZ75" s="14"/>
      <c r="DHA75" s="113"/>
      <c r="DHB75" s="114"/>
      <c r="DHC75" s="115"/>
      <c r="DHD75" s="18"/>
      <c r="DHE75" s="52"/>
      <c r="DHF75" s="53"/>
      <c r="DHG75" s="54"/>
      <c r="DHH75" s="11"/>
      <c r="DHI75" s="14"/>
      <c r="DHJ75" s="113"/>
      <c r="DHK75" s="114"/>
      <c r="DHL75" s="115"/>
      <c r="DHM75" s="18"/>
      <c r="DHN75" s="52"/>
      <c r="DHO75" s="53"/>
      <c r="DHP75" s="54"/>
      <c r="DHQ75" s="11"/>
      <c r="DHR75" s="14"/>
      <c r="DHS75" s="113"/>
      <c r="DHT75" s="114"/>
      <c r="DHU75" s="115"/>
      <c r="DHV75" s="18"/>
      <c r="DHW75" s="52"/>
      <c r="DHX75" s="53"/>
      <c r="DHY75" s="54"/>
      <c r="DHZ75" s="11"/>
      <c r="DIA75" s="14"/>
      <c r="DIB75" s="113"/>
      <c r="DIC75" s="114"/>
      <c r="DID75" s="115"/>
      <c r="DIE75" s="18"/>
      <c r="DIF75" s="52"/>
      <c r="DIG75" s="53"/>
      <c r="DIH75" s="54"/>
      <c r="DII75" s="11"/>
      <c r="DIJ75" s="14"/>
      <c r="DIK75" s="113"/>
      <c r="DIL75" s="114"/>
      <c r="DIM75" s="115"/>
      <c r="DIN75" s="18"/>
      <c r="DIO75" s="52"/>
      <c r="DIP75" s="53"/>
      <c r="DIQ75" s="54"/>
      <c r="DIR75" s="11"/>
      <c r="DIS75" s="14"/>
      <c r="DIT75" s="113"/>
      <c r="DIU75" s="114"/>
      <c r="DIV75" s="115"/>
      <c r="DIW75" s="18"/>
      <c r="DIX75" s="52"/>
      <c r="DIY75" s="53"/>
      <c r="DIZ75" s="54"/>
      <c r="DJA75" s="11"/>
      <c r="DJB75" s="14"/>
      <c r="DJC75" s="113"/>
      <c r="DJD75" s="114"/>
      <c r="DJE75" s="115"/>
      <c r="DJF75" s="18"/>
      <c r="DJG75" s="52"/>
      <c r="DJH75" s="53"/>
      <c r="DJI75" s="54"/>
      <c r="DJJ75" s="11"/>
      <c r="DJK75" s="14"/>
      <c r="DJL75" s="113"/>
      <c r="DJM75" s="114"/>
      <c r="DJN75" s="115"/>
      <c r="DJO75" s="18"/>
      <c r="DJP75" s="52"/>
      <c r="DJQ75" s="53"/>
      <c r="DJR75" s="54"/>
      <c r="DJS75" s="11"/>
      <c r="DJT75" s="14"/>
      <c r="DJU75" s="113"/>
      <c r="DJV75" s="114"/>
      <c r="DJW75" s="115"/>
      <c r="DJX75" s="18"/>
      <c r="DJY75" s="52"/>
      <c r="DJZ75" s="53"/>
      <c r="DKA75" s="54"/>
      <c r="DKB75" s="11"/>
      <c r="DKC75" s="14"/>
      <c r="DKD75" s="113"/>
      <c r="DKE75" s="114"/>
      <c r="DKF75" s="115"/>
      <c r="DKG75" s="18"/>
      <c r="DKH75" s="52"/>
      <c r="DKI75" s="53"/>
      <c r="DKJ75" s="54"/>
      <c r="DKK75" s="11"/>
      <c r="DKL75" s="14"/>
      <c r="DKM75" s="113"/>
      <c r="DKN75" s="114"/>
      <c r="DKO75" s="115"/>
      <c r="DKP75" s="18"/>
      <c r="DKQ75" s="52"/>
      <c r="DKR75" s="53"/>
      <c r="DKS75" s="54"/>
      <c r="DKT75" s="11"/>
      <c r="DKU75" s="14"/>
      <c r="DKV75" s="113"/>
      <c r="DKW75" s="114"/>
      <c r="DKX75" s="115"/>
      <c r="DKY75" s="18"/>
      <c r="DKZ75" s="52"/>
      <c r="DLA75" s="53"/>
      <c r="DLB75" s="54"/>
      <c r="DLC75" s="11"/>
      <c r="DLD75" s="14"/>
      <c r="DLE75" s="113"/>
      <c r="DLF75" s="114"/>
      <c r="DLG75" s="115"/>
      <c r="DLH75" s="18"/>
      <c r="DLI75" s="52"/>
      <c r="DLJ75" s="53"/>
      <c r="DLK75" s="54"/>
      <c r="DLL75" s="11"/>
      <c r="DLM75" s="14"/>
      <c r="DLN75" s="113"/>
      <c r="DLO75" s="114"/>
      <c r="DLP75" s="115"/>
      <c r="DLQ75" s="18"/>
      <c r="DLR75" s="52"/>
      <c r="DLS75" s="53"/>
      <c r="DLT75" s="54"/>
      <c r="DLU75" s="11"/>
      <c r="DLV75" s="14"/>
      <c r="DLW75" s="113"/>
      <c r="DLX75" s="114"/>
      <c r="DLY75" s="115"/>
      <c r="DLZ75" s="18"/>
      <c r="DMA75" s="52"/>
      <c r="DMB75" s="53"/>
      <c r="DMC75" s="54"/>
      <c r="DMD75" s="11"/>
      <c r="DME75" s="14"/>
      <c r="DMF75" s="113"/>
      <c r="DMG75" s="114"/>
      <c r="DMH75" s="115"/>
      <c r="DMI75" s="18"/>
      <c r="DMJ75" s="52"/>
      <c r="DMK75" s="53"/>
      <c r="DML75" s="54"/>
      <c r="DMM75" s="11"/>
      <c r="DMN75" s="14"/>
      <c r="DMO75" s="113"/>
      <c r="DMP75" s="114"/>
      <c r="DMQ75" s="115"/>
      <c r="DMR75" s="18"/>
      <c r="DMS75" s="52"/>
      <c r="DMT75" s="53"/>
      <c r="DMU75" s="54"/>
      <c r="DMV75" s="11"/>
      <c r="DMW75" s="14"/>
      <c r="DMX75" s="113"/>
      <c r="DMY75" s="114"/>
      <c r="DMZ75" s="115"/>
      <c r="DNA75" s="18"/>
      <c r="DNB75" s="52"/>
      <c r="DNC75" s="53"/>
      <c r="DND75" s="54"/>
      <c r="DNE75" s="11"/>
      <c r="DNF75" s="14"/>
      <c r="DNG75" s="113"/>
      <c r="DNH75" s="114"/>
      <c r="DNI75" s="115"/>
      <c r="DNJ75" s="18"/>
      <c r="DNK75" s="52"/>
      <c r="DNL75" s="53"/>
      <c r="DNM75" s="54"/>
      <c r="DNN75" s="11"/>
      <c r="DNO75" s="14"/>
      <c r="DNP75" s="113"/>
      <c r="DNQ75" s="114"/>
      <c r="DNR75" s="115"/>
      <c r="DNS75" s="18"/>
      <c r="DNT75" s="52"/>
      <c r="DNU75" s="53"/>
      <c r="DNV75" s="54"/>
      <c r="DNW75" s="11"/>
      <c r="DNX75" s="14"/>
      <c r="DNY75" s="113"/>
      <c r="DNZ75" s="114"/>
      <c r="DOA75" s="115"/>
      <c r="DOB75" s="18"/>
      <c r="DOC75" s="52"/>
      <c r="DOD75" s="53"/>
      <c r="DOE75" s="54"/>
      <c r="DOF75" s="11"/>
      <c r="DOG75" s="14"/>
      <c r="DOH75" s="113"/>
      <c r="DOI75" s="114"/>
      <c r="DOJ75" s="115"/>
      <c r="DOK75" s="18"/>
      <c r="DOL75" s="52"/>
      <c r="DOM75" s="53"/>
      <c r="DON75" s="54"/>
      <c r="DOO75" s="11"/>
      <c r="DOP75" s="14"/>
      <c r="DOQ75" s="113"/>
      <c r="DOR75" s="114"/>
      <c r="DOS75" s="115"/>
      <c r="DOT75" s="18"/>
      <c r="DOU75" s="52"/>
      <c r="DOV75" s="53"/>
      <c r="DOW75" s="54"/>
      <c r="DOX75" s="11"/>
      <c r="DOY75" s="14"/>
      <c r="DOZ75" s="113"/>
      <c r="DPA75" s="114"/>
      <c r="DPB75" s="115"/>
      <c r="DPC75" s="18"/>
      <c r="DPD75" s="52"/>
      <c r="DPE75" s="53"/>
      <c r="DPF75" s="54"/>
      <c r="DPG75" s="11"/>
      <c r="DPH75" s="14"/>
      <c r="DPI75" s="113"/>
      <c r="DPJ75" s="114"/>
      <c r="DPK75" s="115"/>
      <c r="DPL75" s="18"/>
      <c r="DPM75" s="52"/>
      <c r="DPN75" s="53"/>
      <c r="DPO75" s="54"/>
      <c r="DPP75" s="11"/>
      <c r="DPQ75" s="14"/>
      <c r="DPR75" s="113"/>
      <c r="DPS75" s="114"/>
      <c r="DPT75" s="115"/>
      <c r="DPU75" s="18"/>
      <c r="DPV75" s="52"/>
      <c r="DPW75" s="53"/>
      <c r="DPX75" s="54"/>
      <c r="DPY75" s="11"/>
      <c r="DPZ75" s="14"/>
      <c r="DQA75" s="113"/>
      <c r="DQB75" s="114"/>
      <c r="DQC75" s="115"/>
      <c r="DQD75" s="18"/>
      <c r="DQE75" s="52"/>
      <c r="DQF75" s="53"/>
      <c r="DQG75" s="54"/>
      <c r="DQH75" s="11"/>
      <c r="DQI75" s="14"/>
      <c r="DQJ75" s="113"/>
      <c r="DQK75" s="114"/>
      <c r="DQL75" s="115"/>
      <c r="DQM75" s="18"/>
      <c r="DQN75" s="52"/>
      <c r="DQO75" s="53"/>
      <c r="DQP75" s="54"/>
      <c r="DQQ75" s="11"/>
      <c r="DQR75" s="14"/>
      <c r="DQS75" s="113"/>
      <c r="DQT75" s="114"/>
      <c r="DQU75" s="115"/>
      <c r="DQV75" s="18"/>
      <c r="DQW75" s="52"/>
      <c r="DQX75" s="53"/>
      <c r="DQY75" s="54"/>
      <c r="DQZ75" s="11"/>
      <c r="DRA75" s="14"/>
      <c r="DRB75" s="113"/>
      <c r="DRC75" s="114"/>
      <c r="DRD75" s="115"/>
      <c r="DRE75" s="18"/>
      <c r="DRF75" s="52"/>
      <c r="DRG75" s="53"/>
      <c r="DRH75" s="54"/>
      <c r="DRI75" s="11"/>
      <c r="DRJ75" s="14"/>
      <c r="DRK75" s="113"/>
      <c r="DRL75" s="114"/>
      <c r="DRM75" s="115"/>
      <c r="DRN75" s="18"/>
      <c r="DRO75" s="52"/>
      <c r="DRP75" s="53"/>
      <c r="DRQ75" s="54"/>
      <c r="DRR75" s="11"/>
      <c r="DRS75" s="14"/>
      <c r="DRT75" s="113"/>
      <c r="DRU75" s="114"/>
      <c r="DRV75" s="115"/>
      <c r="DRW75" s="18"/>
      <c r="DRX75" s="52"/>
      <c r="DRY75" s="53"/>
      <c r="DRZ75" s="54"/>
      <c r="DSA75" s="11"/>
      <c r="DSB75" s="14"/>
      <c r="DSC75" s="113"/>
      <c r="DSD75" s="114"/>
      <c r="DSE75" s="115"/>
      <c r="DSF75" s="18"/>
      <c r="DSG75" s="52"/>
      <c r="DSH75" s="53"/>
      <c r="DSI75" s="54"/>
      <c r="DSJ75" s="11"/>
      <c r="DSK75" s="14"/>
      <c r="DSL75" s="113"/>
      <c r="DSM75" s="114"/>
      <c r="DSN75" s="115"/>
      <c r="DSO75" s="18"/>
      <c r="DSP75" s="52"/>
      <c r="DSQ75" s="53"/>
      <c r="DSR75" s="54"/>
      <c r="DSS75" s="11"/>
      <c r="DST75" s="14"/>
      <c r="DSU75" s="113"/>
      <c r="DSV75" s="114"/>
      <c r="DSW75" s="115"/>
      <c r="DSX75" s="18"/>
      <c r="DSY75" s="52"/>
      <c r="DSZ75" s="53"/>
      <c r="DTA75" s="54"/>
      <c r="DTB75" s="11"/>
      <c r="DTC75" s="14"/>
      <c r="DTD75" s="113"/>
      <c r="DTE75" s="114"/>
      <c r="DTF75" s="115"/>
      <c r="DTG75" s="18"/>
      <c r="DTH75" s="52"/>
      <c r="DTI75" s="53"/>
      <c r="DTJ75" s="54"/>
      <c r="DTK75" s="11"/>
      <c r="DTL75" s="14"/>
      <c r="DTM75" s="113"/>
      <c r="DTN75" s="114"/>
      <c r="DTO75" s="115"/>
      <c r="DTP75" s="18"/>
      <c r="DTQ75" s="52"/>
      <c r="DTR75" s="53"/>
      <c r="DTS75" s="54"/>
      <c r="DTT75" s="11"/>
      <c r="DTU75" s="14"/>
      <c r="DTV75" s="113"/>
      <c r="DTW75" s="114"/>
      <c r="DTX75" s="115"/>
      <c r="DTY75" s="18"/>
      <c r="DTZ75" s="52"/>
      <c r="DUA75" s="53"/>
      <c r="DUB75" s="54"/>
      <c r="DUC75" s="11"/>
      <c r="DUD75" s="14"/>
      <c r="DUE75" s="113"/>
      <c r="DUF75" s="114"/>
      <c r="DUG75" s="115"/>
      <c r="DUH75" s="18"/>
      <c r="DUI75" s="52"/>
      <c r="DUJ75" s="53"/>
      <c r="DUK75" s="54"/>
      <c r="DUL75" s="11"/>
      <c r="DUM75" s="14"/>
      <c r="DUN75" s="113"/>
      <c r="DUO75" s="114"/>
      <c r="DUP75" s="115"/>
      <c r="DUQ75" s="18"/>
      <c r="DUR75" s="52"/>
      <c r="DUS75" s="53"/>
      <c r="DUT75" s="54"/>
      <c r="DUU75" s="11"/>
      <c r="DUV75" s="14"/>
      <c r="DUW75" s="113"/>
      <c r="DUX75" s="114"/>
      <c r="DUY75" s="115"/>
      <c r="DUZ75" s="18"/>
      <c r="DVA75" s="52"/>
      <c r="DVB75" s="53"/>
      <c r="DVC75" s="54"/>
      <c r="DVD75" s="11"/>
      <c r="DVE75" s="14"/>
      <c r="DVF75" s="113"/>
      <c r="DVG75" s="114"/>
      <c r="DVH75" s="115"/>
      <c r="DVI75" s="18"/>
      <c r="DVJ75" s="52"/>
      <c r="DVK75" s="53"/>
      <c r="DVL75" s="54"/>
      <c r="DVM75" s="11"/>
      <c r="DVN75" s="14"/>
      <c r="DVO75" s="113"/>
      <c r="DVP75" s="114"/>
      <c r="DVQ75" s="115"/>
      <c r="DVR75" s="18"/>
      <c r="DVS75" s="52"/>
      <c r="DVT75" s="53"/>
      <c r="DVU75" s="54"/>
      <c r="DVV75" s="11"/>
      <c r="DVW75" s="14"/>
      <c r="DVX75" s="113"/>
      <c r="DVY75" s="114"/>
      <c r="DVZ75" s="115"/>
      <c r="DWA75" s="18"/>
      <c r="DWB75" s="52"/>
      <c r="DWC75" s="53"/>
      <c r="DWD75" s="54"/>
      <c r="DWE75" s="11"/>
      <c r="DWF75" s="14"/>
      <c r="DWG75" s="113"/>
      <c r="DWH75" s="114"/>
      <c r="DWI75" s="115"/>
      <c r="DWJ75" s="18"/>
      <c r="DWK75" s="52"/>
      <c r="DWL75" s="53"/>
      <c r="DWM75" s="54"/>
      <c r="DWN75" s="11"/>
      <c r="DWO75" s="14"/>
      <c r="DWP75" s="113"/>
      <c r="DWQ75" s="114"/>
      <c r="DWR75" s="115"/>
      <c r="DWS75" s="18"/>
      <c r="DWT75" s="52"/>
      <c r="DWU75" s="53"/>
      <c r="DWV75" s="54"/>
      <c r="DWW75" s="11"/>
      <c r="DWX75" s="14"/>
      <c r="DWY75" s="113"/>
      <c r="DWZ75" s="114"/>
      <c r="DXA75" s="115"/>
      <c r="DXB75" s="18"/>
      <c r="DXC75" s="52"/>
      <c r="DXD75" s="53"/>
      <c r="DXE75" s="54"/>
      <c r="DXF75" s="11"/>
      <c r="DXG75" s="14"/>
      <c r="DXH75" s="113"/>
      <c r="DXI75" s="114"/>
      <c r="DXJ75" s="115"/>
      <c r="DXK75" s="18"/>
      <c r="DXL75" s="52"/>
      <c r="DXM75" s="53"/>
      <c r="DXN75" s="54"/>
      <c r="DXO75" s="11"/>
      <c r="DXP75" s="14"/>
      <c r="DXQ75" s="113"/>
      <c r="DXR75" s="114"/>
      <c r="DXS75" s="115"/>
      <c r="DXT75" s="18"/>
      <c r="DXU75" s="52"/>
      <c r="DXV75" s="53"/>
      <c r="DXW75" s="54"/>
      <c r="DXX75" s="11"/>
      <c r="DXY75" s="14"/>
      <c r="DXZ75" s="113"/>
      <c r="DYA75" s="114"/>
      <c r="DYB75" s="115"/>
      <c r="DYC75" s="18"/>
      <c r="DYD75" s="52"/>
      <c r="DYE75" s="53"/>
      <c r="DYF75" s="54"/>
      <c r="DYG75" s="11"/>
      <c r="DYH75" s="14"/>
      <c r="DYI75" s="113"/>
      <c r="DYJ75" s="114"/>
      <c r="DYK75" s="115"/>
      <c r="DYL75" s="18"/>
      <c r="DYM75" s="52"/>
      <c r="DYN75" s="53"/>
      <c r="DYO75" s="54"/>
      <c r="DYP75" s="11"/>
      <c r="DYQ75" s="14"/>
      <c r="DYR75" s="113"/>
      <c r="DYS75" s="114"/>
      <c r="DYT75" s="115"/>
      <c r="DYU75" s="18"/>
      <c r="DYV75" s="52"/>
      <c r="DYW75" s="53"/>
      <c r="DYX75" s="54"/>
      <c r="DYY75" s="11"/>
      <c r="DYZ75" s="14"/>
      <c r="DZA75" s="113"/>
      <c r="DZB75" s="114"/>
      <c r="DZC75" s="115"/>
      <c r="DZD75" s="18"/>
      <c r="DZE75" s="52"/>
      <c r="DZF75" s="53"/>
      <c r="DZG75" s="54"/>
      <c r="DZH75" s="11"/>
      <c r="DZI75" s="14"/>
      <c r="DZJ75" s="113"/>
      <c r="DZK75" s="114"/>
      <c r="DZL75" s="115"/>
      <c r="DZM75" s="18"/>
      <c r="DZN75" s="52"/>
      <c r="DZO75" s="53"/>
      <c r="DZP75" s="54"/>
      <c r="DZQ75" s="11"/>
      <c r="DZR75" s="14"/>
      <c r="DZS75" s="113"/>
      <c r="DZT75" s="114"/>
      <c r="DZU75" s="115"/>
      <c r="DZV75" s="18"/>
      <c r="DZW75" s="52"/>
      <c r="DZX75" s="53"/>
      <c r="DZY75" s="54"/>
      <c r="DZZ75" s="11"/>
      <c r="EAA75" s="14"/>
      <c r="EAB75" s="113"/>
      <c r="EAC75" s="114"/>
      <c r="EAD75" s="115"/>
      <c r="EAE75" s="18"/>
      <c r="EAF75" s="52"/>
      <c r="EAG75" s="53"/>
      <c r="EAH75" s="54"/>
      <c r="EAI75" s="11"/>
      <c r="EAJ75" s="14"/>
      <c r="EAK75" s="113"/>
      <c r="EAL75" s="114"/>
      <c r="EAM75" s="115"/>
      <c r="EAN75" s="18"/>
      <c r="EAO75" s="52"/>
      <c r="EAP75" s="53"/>
      <c r="EAQ75" s="54"/>
      <c r="EAR75" s="11"/>
      <c r="EAS75" s="14"/>
      <c r="EAT75" s="113"/>
      <c r="EAU75" s="114"/>
      <c r="EAV75" s="115"/>
      <c r="EAW75" s="18"/>
      <c r="EAX75" s="52"/>
      <c r="EAY75" s="53"/>
      <c r="EAZ75" s="54"/>
      <c r="EBA75" s="11"/>
      <c r="EBB75" s="14"/>
      <c r="EBC75" s="113"/>
      <c r="EBD75" s="114"/>
      <c r="EBE75" s="115"/>
      <c r="EBF75" s="18"/>
      <c r="EBG75" s="52"/>
      <c r="EBH75" s="53"/>
      <c r="EBI75" s="54"/>
      <c r="EBJ75" s="11"/>
      <c r="EBK75" s="14"/>
      <c r="EBL75" s="113"/>
      <c r="EBM75" s="114"/>
      <c r="EBN75" s="115"/>
      <c r="EBO75" s="18"/>
      <c r="EBP75" s="52"/>
      <c r="EBQ75" s="53"/>
      <c r="EBR75" s="54"/>
      <c r="EBS75" s="11"/>
      <c r="EBT75" s="14"/>
      <c r="EBU75" s="113"/>
      <c r="EBV75" s="114"/>
      <c r="EBW75" s="115"/>
      <c r="EBX75" s="18"/>
      <c r="EBY75" s="52"/>
      <c r="EBZ75" s="53"/>
      <c r="ECA75" s="54"/>
      <c r="ECB75" s="11"/>
      <c r="ECC75" s="14"/>
      <c r="ECD75" s="113"/>
      <c r="ECE75" s="114"/>
      <c r="ECF75" s="115"/>
      <c r="ECG75" s="18"/>
      <c r="ECH75" s="52"/>
      <c r="ECI75" s="53"/>
      <c r="ECJ75" s="54"/>
      <c r="ECK75" s="11"/>
      <c r="ECL75" s="14"/>
      <c r="ECM75" s="113"/>
      <c r="ECN75" s="114"/>
      <c r="ECO75" s="115"/>
      <c r="ECP75" s="18"/>
      <c r="ECQ75" s="52"/>
      <c r="ECR75" s="53"/>
      <c r="ECS75" s="54"/>
      <c r="ECT75" s="11"/>
      <c r="ECU75" s="14"/>
      <c r="ECV75" s="113"/>
      <c r="ECW75" s="114"/>
      <c r="ECX75" s="115"/>
      <c r="ECY75" s="18"/>
      <c r="ECZ75" s="52"/>
      <c r="EDA75" s="53"/>
      <c r="EDB75" s="54"/>
      <c r="EDC75" s="11"/>
      <c r="EDD75" s="14"/>
      <c r="EDE75" s="113"/>
      <c r="EDF75" s="114"/>
      <c r="EDG75" s="115"/>
      <c r="EDH75" s="18"/>
      <c r="EDI75" s="52"/>
      <c r="EDJ75" s="53"/>
      <c r="EDK75" s="54"/>
      <c r="EDL75" s="11"/>
      <c r="EDM75" s="14"/>
      <c r="EDN75" s="113"/>
      <c r="EDO75" s="114"/>
      <c r="EDP75" s="115"/>
      <c r="EDQ75" s="18"/>
      <c r="EDR75" s="52"/>
      <c r="EDS75" s="53"/>
      <c r="EDT75" s="54"/>
      <c r="EDU75" s="11"/>
      <c r="EDV75" s="14"/>
      <c r="EDW75" s="113"/>
      <c r="EDX75" s="114"/>
      <c r="EDY75" s="115"/>
      <c r="EDZ75" s="18"/>
      <c r="EEA75" s="52"/>
      <c r="EEB75" s="53"/>
      <c r="EEC75" s="54"/>
      <c r="EED75" s="11"/>
      <c r="EEE75" s="14"/>
      <c r="EEF75" s="113"/>
      <c r="EEG75" s="114"/>
      <c r="EEH75" s="115"/>
      <c r="EEI75" s="18"/>
      <c r="EEJ75" s="52"/>
      <c r="EEK75" s="53"/>
      <c r="EEL75" s="54"/>
      <c r="EEM75" s="11"/>
      <c r="EEN75" s="14"/>
      <c r="EEO75" s="113"/>
      <c r="EEP75" s="114"/>
      <c r="EEQ75" s="115"/>
      <c r="EER75" s="18"/>
      <c r="EES75" s="52"/>
      <c r="EET75" s="53"/>
      <c r="EEU75" s="54"/>
      <c r="EEV75" s="11"/>
      <c r="EEW75" s="14"/>
      <c r="EEX75" s="113"/>
      <c r="EEY75" s="114"/>
      <c r="EEZ75" s="115"/>
      <c r="EFA75" s="18"/>
      <c r="EFB75" s="52"/>
      <c r="EFC75" s="53"/>
      <c r="EFD75" s="54"/>
      <c r="EFE75" s="11"/>
      <c r="EFF75" s="14"/>
      <c r="EFG75" s="113"/>
      <c r="EFH75" s="114"/>
      <c r="EFI75" s="115"/>
      <c r="EFJ75" s="18"/>
      <c r="EFK75" s="52"/>
      <c r="EFL75" s="53"/>
      <c r="EFM75" s="54"/>
      <c r="EFN75" s="11"/>
      <c r="EFO75" s="14"/>
      <c r="EFP75" s="113"/>
      <c r="EFQ75" s="114"/>
      <c r="EFR75" s="115"/>
      <c r="EFS75" s="18"/>
      <c r="EFT75" s="52"/>
      <c r="EFU75" s="53"/>
      <c r="EFV75" s="54"/>
      <c r="EFW75" s="11"/>
      <c r="EFX75" s="14"/>
      <c r="EFY75" s="113"/>
      <c r="EFZ75" s="114"/>
      <c r="EGA75" s="115"/>
      <c r="EGB75" s="18"/>
      <c r="EGC75" s="52"/>
      <c r="EGD75" s="53"/>
      <c r="EGE75" s="54"/>
      <c r="EGF75" s="11"/>
      <c r="EGG75" s="14"/>
      <c r="EGH75" s="113"/>
      <c r="EGI75" s="114"/>
      <c r="EGJ75" s="115"/>
      <c r="EGK75" s="18"/>
      <c r="EGL75" s="52"/>
      <c r="EGM75" s="53"/>
      <c r="EGN75" s="54"/>
      <c r="EGO75" s="11"/>
      <c r="EGP75" s="14"/>
      <c r="EGQ75" s="113"/>
      <c r="EGR75" s="114"/>
      <c r="EGS75" s="115"/>
      <c r="EGT75" s="18"/>
      <c r="EGU75" s="52"/>
      <c r="EGV75" s="53"/>
      <c r="EGW75" s="54"/>
      <c r="EGX75" s="11"/>
      <c r="EGY75" s="14"/>
      <c r="EGZ75" s="113"/>
      <c r="EHA75" s="114"/>
      <c r="EHB75" s="115"/>
      <c r="EHC75" s="18"/>
      <c r="EHD75" s="52"/>
      <c r="EHE75" s="53"/>
      <c r="EHF75" s="54"/>
      <c r="EHG75" s="11"/>
      <c r="EHH75" s="14"/>
      <c r="EHI75" s="113"/>
      <c r="EHJ75" s="114"/>
      <c r="EHK75" s="115"/>
      <c r="EHL75" s="18"/>
      <c r="EHM75" s="52"/>
      <c r="EHN75" s="53"/>
      <c r="EHO75" s="54"/>
      <c r="EHP75" s="11"/>
      <c r="EHQ75" s="14"/>
      <c r="EHR75" s="113"/>
      <c r="EHS75" s="114"/>
      <c r="EHT75" s="115"/>
      <c r="EHU75" s="18"/>
      <c r="EHV75" s="52"/>
      <c r="EHW75" s="53"/>
      <c r="EHX75" s="54"/>
      <c r="EHY75" s="11"/>
      <c r="EHZ75" s="14"/>
      <c r="EIA75" s="113"/>
      <c r="EIB75" s="114"/>
      <c r="EIC75" s="115"/>
      <c r="EID75" s="18"/>
      <c r="EIE75" s="52"/>
      <c r="EIF75" s="53"/>
      <c r="EIG75" s="54"/>
      <c r="EIH75" s="11"/>
      <c r="EII75" s="14"/>
      <c r="EIJ75" s="113"/>
      <c r="EIK75" s="114"/>
      <c r="EIL75" s="115"/>
      <c r="EIM75" s="18"/>
      <c r="EIN75" s="52"/>
      <c r="EIO75" s="53"/>
      <c r="EIP75" s="54"/>
      <c r="EIQ75" s="11"/>
      <c r="EIR75" s="14"/>
      <c r="EIS75" s="113"/>
      <c r="EIT75" s="114"/>
      <c r="EIU75" s="115"/>
      <c r="EIV75" s="18"/>
      <c r="EIW75" s="52"/>
      <c r="EIX75" s="53"/>
      <c r="EIY75" s="54"/>
      <c r="EIZ75" s="11"/>
      <c r="EJA75" s="14"/>
      <c r="EJB75" s="113"/>
      <c r="EJC75" s="114"/>
      <c r="EJD75" s="115"/>
      <c r="EJE75" s="18"/>
      <c r="EJF75" s="52"/>
      <c r="EJG75" s="53"/>
      <c r="EJH75" s="54"/>
      <c r="EJI75" s="11"/>
      <c r="EJJ75" s="14"/>
      <c r="EJK75" s="113"/>
      <c r="EJL75" s="114"/>
      <c r="EJM75" s="115"/>
      <c r="EJN75" s="18"/>
      <c r="EJO75" s="52"/>
      <c r="EJP75" s="53"/>
      <c r="EJQ75" s="54"/>
      <c r="EJR75" s="11"/>
      <c r="EJS75" s="14"/>
      <c r="EJT75" s="113"/>
      <c r="EJU75" s="114"/>
      <c r="EJV75" s="115"/>
      <c r="EJW75" s="18"/>
      <c r="EJX75" s="52"/>
      <c r="EJY75" s="53"/>
      <c r="EJZ75" s="54"/>
      <c r="EKA75" s="11"/>
      <c r="EKB75" s="14"/>
      <c r="EKC75" s="113"/>
      <c r="EKD75" s="114"/>
      <c r="EKE75" s="115"/>
      <c r="EKF75" s="18"/>
      <c r="EKG75" s="52"/>
      <c r="EKH75" s="53"/>
      <c r="EKI75" s="54"/>
      <c r="EKJ75" s="11"/>
      <c r="EKK75" s="14"/>
      <c r="EKL75" s="113"/>
      <c r="EKM75" s="114"/>
      <c r="EKN75" s="115"/>
      <c r="EKO75" s="18"/>
      <c r="EKP75" s="52"/>
      <c r="EKQ75" s="53"/>
      <c r="EKR75" s="54"/>
      <c r="EKS75" s="11"/>
      <c r="EKT75" s="14"/>
      <c r="EKU75" s="113"/>
      <c r="EKV75" s="114"/>
      <c r="EKW75" s="115"/>
      <c r="EKX75" s="18"/>
      <c r="EKY75" s="52"/>
      <c r="EKZ75" s="53"/>
      <c r="ELA75" s="54"/>
      <c r="ELB75" s="11"/>
      <c r="ELC75" s="14"/>
      <c r="ELD75" s="113"/>
      <c r="ELE75" s="114"/>
      <c r="ELF75" s="115"/>
      <c r="ELG75" s="18"/>
      <c r="ELH75" s="52"/>
      <c r="ELI75" s="53"/>
      <c r="ELJ75" s="54"/>
      <c r="ELK75" s="11"/>
      <c r="ELL75" s="14"/>
      <c r="ELM75" s="113"/>
      <c r="ELN75" s="114"/>
      <c r="ELO75" s="115"/>
      <c r="ELP75" s="18"/>
      <c r="ELQ75" s="52"/>
      <c r="ELR75" s="53"/>
      <c r="ELS75" s="54"/>
      <c r="ELT75" s="11"/>
      <c r="ELU75" s="14"/>
      <c r="ELV75" s="113"/>
      <c r="ELW75" s="114"/>
      <c r="ELX75" s="115"/>
      <c r="ELY75" s="18"/>
      <c r="ELZ75" s="52"/>
      <c r="EMA75" s="53"/>
      <c r="EMB75" s="54"/>
      <c r="EMC75" s="11"/>
      <c r="EMD75" s="14"/>
      <c r="EME75" s="113"/>
      <c r="EMF75" s="114"/>
      <c r="EMG75" s="115"/>
      <c r="EMH75" s="18"/>
      <c r="EMI75" s="52"/>
      <c r="EMJ75" s="53"/>
      <c r="EMK75" s="54"/>
      <c r="EML75" s="11"/>
      <c r="EMM75" s="14"/>
      <c r="EMN75" s="113"/>
      <c r="EMO75" s="114"/>
      <c r="EMP75" s="115"/>
      <c r="EMQ75" s="18"/>
      <c r="EMR75" s="52"/>
      <c r="EMS75" s="53"/>
      <c r="EMT75" s="54"/>
      <c r="EMU75" s="11"/>
      <c r="EMV75" s="14"/>
      <c r="EMW75" s="113"/>
      <c r="EMX75" s="114"/>
      <c r="EMY75" s="115"/>
      <c r="EMZ75" s="18"/>
      <c r="ENA75" s="52"/>
      <c r="ENB75" s="53"/>
      <c r="ENC75" s="54"/>
      <c r="END75" s="11"/>
      <c r="ENE75" s="14"/>
      <c r="ENF75" s="113"/>
      <c r="ENG75" s="114"/>
      <c r="ENH75" s="115"/>
      <c r="ENI75" s="18"/>
      <c r="ENJ75" s="52"/>
      <c r="ENK75" s="53"/>
      <c r="ENL75" s="54"/>
      <c r="ENM75" s="11"/>
      <c r="ENN75" s="14"/>
      <c r="ENO75" s="113"/>
      <c r="ENP75" s="114"/>
      <c r="ENQ75" s="115"/>
      <c r="ENR75" s="18"/>
      <c r="ENS75" s="52"/>
      <c r="ENT75" s="53"/>
      <c r="ENU75" s="54"/>
      <c r="ENV75" s="11"/>
      <c r="ENW75" s="14"/>
      <c r="ENX75" s="113"/>
      <c r="ENY75" s="114"/>
      <c r="ENZ75" s="115"/>
      <c r="EOA75" s="18"/>
      <c r="EOB75" s="52"/>
      <c r="EOC75" s="53"/>
      <c r="EOD75" s="54"/>
      <c r="EOE75" s="11"/>
      <c r="EOF75" s="14"/>
      <c r="EOG75" s="113"/>
      <c r="EOH75" s="114"/>
      <c r="EOI75" s="115"/>
      <c r="EOJ75" s="18"/>
      <c r="EOK75" s="52"/>
      <c r="EOL75" s="53"/>
      <c r="EOM75" s="54"/>
      <c r="EON75" s="11"/>
      <c r="EOO75" s="14"/>
      <c r="EOP75" s="113"/>
      <c r="EOQ75" s="114"/>
      <c r="EOR75" s="115"/>
      <c r="EOS75" s="18"/>
      <c r="EOT75" s="52"/>
      <c r="EOU75" s="53"/>
      <c r="EOV75" s="54"/>
      <c r="EOW75" s="11"/>
      <c r="EOX75" s="14"/>
      <c r="EOY75" s="113"/>
      <c r="EOZ75" s="114"/>
      <c r="EPA75" s="115"/>
      <c r="EPB75" s="18"/>
      <c r="EPC75" s="52"/>
      <c r="EPD75" s="53"/>
      <c r="EPE75" s="54"/>
      <c r="EPF75" s="11"/>
      <c r="EPG75" s="14"/>
      <c r="EPH75" s="113"/>
      <c r="EPI75" s="114"/>
      <c r="EPJ75" s="115"/>
      <c r="EPK75" s="18"/>
      <c r="EPL75" s="52"/>
      <c r="EPM75" s="53"/>
      <c r="EPN75" s="54"/>
      <c r="EPO75" s="11"/>
      <c r="EPP75" s="14"/>
      <c r="EPQ75" s="113"/>
      <c r="EPR75" s="114"/>
      <c r="EPS75" s="115"/>
      <c r="EPT75" s="18"/>
      <c r="EPU75" s="52"/>
      <c r="EPV75" s="53"/>
      <c r="EPW75" s="54"/>
      <c r="EPX75" s="11"/>
      <c r="EPY75" s="14"/>
      <c r="EPZ75" s="113"/>
      <c r="EQA75" s="114"/>
      <c r="EQB75" s="115"/>
      <c r="EQC75" s="18"/>
      <c r="EQD75" s="52"/>
      <c r="EQE75" s="53"/>
      <c r="EQF75" s="54"/>
      <c r="EQG75" s="11"/>
      <c r="EQH75" s="14"/>
      <c r="EQI75" s="113"/>
      <c r="EQJ75" s="114"/>
      <c r="EQK75" s="115"/>
      <c r="EQL75" s="18"/>
      <c r="EQM75" s="52"/>
      <c r="EQN75" s="53"/>
      <c r="EQO75" s="54"/>
      <c r="EQP75" s="11"/>
      <c r="EQQ75" s="14"/>
      <c r="EQR75" s="113"/>
      <c r="EQS75" s="114"/>
      <c r="EQT75" s="115"/>
      <c r="EQU75" s="18"/>
      <c r="EQV75" s="52"/>
      <c r="EQW75" s="53"/>
      <c r="EQX75" s="54"/>
      <c r="EQY75" s="11"/>
      <c r="EQZ75" s="14"/>
      <c r="ERA75" s="113"/>
      <c r="ERB75" s="114"/>
      <c r="ERC75" s="115"/>
      <c r="ERD75" s="18"/>
      <c r="ERE75" s="52"/>
      <c r="ERF75" s="53"/>
      <c r="ERG75" s="54"/>
      <c r="ERH75" s="11"/>
      <c r="ERI75" s="14"/>
      <c r="ERJ75" s="113"/>
      <c r="ERK75" s="114"/>
      <c r="ERL75" s="115"/>
      <c r="ERM75" s="18"/>
      <c r="ERN75" s="52"/>
      <c r="ERO75" s="53"/>
      <c r="ERP75" s="54"/>
      <c r="ERQ75" s="11"/>
      <c r="ERR75" s="14"/>
      <c r="ERS75" s="113"/>
      <c r="ERT75" s="114"/>
      <c r="ERU75" s="115"/>
      <c r="ERV75" s="18"/>
      <c r="ERW75" s="52"/>
      <c r="ERX75" s="53"/>
      <c r="ERY75" s="54"/>
      <c r="ERZ75" s="11"/>
      <c r="ESA75" s="14"/>
      <c r="ESB75" s="113"/>
      <c r="ESC75" s="114"/>
      <c r="ESD75" s="115"/>
      <c r="ESE75" s="18"/>
      <c r="ESF75" s="52"/>
      <c r="ESG75" s="53"/>
      <c r="ESH75" s="54"/>
      <c r="ESI75" s="11"/>
      <c r="ESJ75" s="14"/>
      <c r="ESK75" s="113"/>
      <c r="ESL75" s="114"/>
      <c r="ESM75" s="115"/>
      <c r="ESN75" s="18"/>
      <c r="ESO75" s="52"/>
      <c r="ESP75" s="53"/>
      <c r="ESQ75" s="54"/>
      <c r="ESR75" s="11"/>
      <c r="ESS75" s="14"/>
      <c r="EST75" s="113"/>
      <c r="ESU75" s="114"/>
      <c r="ESV75" s="115"/>
      <c r="ESW75" s="18"/>
      <c r="ESX75" s="52"/>
      <c r="ESY75" s="53"/>
      <c r="ESZ75" s="54"/>
      <c r="ETA75" s="11"/>
      <c r="ETB75" s="14"/>
      <c r="ETC75" s="113"/>
      <c r="ETD75" s="114"/>
      <c r="ETE75" s="115"/>
      <c r="ETF75" s="18"/>
      <c r="ETG75" s="52"/>
      <c r="ETH75" s="53"/>
      <c r="ETI75" s="54"/>
      <c r="ETJ75" s="11"/>
      <c r="ETK75" s="14"/>
      <c r="ETL75" s="113"/>
      <c r="ETM75" s="114"/>
      <c r="ETN75" s="115"/>
      <c r="ETO75" s="18"/>
      <c r="ETP75" s="52"/>
      <c r="ETQ75" s="53"/>
      <c r="ETR75" s="54"/>
      <c r="ETS75" s="11"/>
      <c r="ETT75" s="14"/>
      <c r="ETU75" s="113"/>
      <c r="ETV75" s="114"/>
      <c r="ETW75" s="115"/>
      <c r="ETX75" s="18"/>
      <c r="ETY75" s="52"/>
      <c r="ETZ75" s="53"/>
      <c r="EUA75" s="54"/>
      <c r="EUB75" s="11"/>
      <c r="EUC75" s="14"/>
      <c r="EUD75" s="113"/>
      <c r="EUE75" s="114"/>
      <c r="EUF75" s="115"/>
      <c r="EUG75" s="18"/>
      <c r="EUH75" s="52"/>
      <c r="EUI75" s="53"/>
      <c r="EUJ75" s="54"/>
      <c r="EUK75" s="11"/>
      <c r="EUL75" s="14"/>
      <c r="EUM75" s="113"/>
      <c r="EUN75" s="114"/>
      <c r="EUO75" s="115"/>
      <c r="EUP75" s="18"/>
      <c r="EUQ75" s="52"/>
      <c r="EUR75" s="53"/>
      <c r="EUS75" s="54"/>
      <c r="EUT75" s="11"/>
      <c r="EUU75" s="14"/>
      <c r="EUV75" s="113"/>
      <c r="EUW75" s="114"/>
      <c r="EUX75" s="115"/>
      <c r="EUY75" s="18"/>
      <c r="EUZ75" s="52"/>
      <c r="EVA75" s="53"/>
      <c r="EVB75" s="54"/>
      <c r="EVC75" s="11"/>
      <c r="EVD75" s="14"/>
      <c r="EVE75" s="113"/>
      <c r="EVF75" s="114"/>
      <c r="EVG75" s="115"/>
      <c r="EVH75" s="18"/>
      <c r="EVI75" s="52"/>
      <c r="EVJ75" s="53"/>
      <c r="EVK75" s="54"/>
      <c r="EVL75" s="11"/>
      <c r="EVM75" s="14"/>
      <c r="EVN75" s="113"/>
      <c r="EVO75" s="114"/>
      <c r="EVP75" s="115"/>
      <c r="EVQ75" s="18"/>
      <c r="EVR75" s="52"/>
      <c r="EVS75" s="53"/>
      <c r="EVT75" s="54"/>
      <c r="EVU75" s="11"/>
      <c r="EVV75" s="14"/>
      <c r="EVW75" s="113"/>
      <c r="EVX75" s="114"/>
      <c r="EVY75" s="115"/>
      <c r="EVZ75" s="18"/>
      <c r="EWA75" s="52"/>
      <c r="EWB75" s="53"/>
      <c r="EWC75" s="54"/>
      <c r="EWD75" s="11"/>
      <c r="EWE75" s="14"/>
      <c r="EWF75" s="113"/>
      <c r="EWG75" s="114"/>
      <c r="EWH75" s="115"/>
      <c r="EWI75" s="18"/>
      <c r="EWJ75" s="52"/>
      <c r="EWK75" s="53"/>
      <c r="EWL75" s="54"/>
      <c r="EWM75" s="11"/>
      <c r="EWN75" s="14"/>
      <c r="EWO75" s="113"/>
      <c r="EWP75" s="114"/>
      <c r="EWQ75" s="115"/>
      <c r="EWR75" s="18"/>
      <c r="EWS75" s="52"/>
      <c r="EWT75" s="53"/>
      <c r="EWU75" s="54"/>
      <c r="EWV75" s="11"/>
      <c r="EWW75" s="14"/>
      <c r="EWX75" s="113"/>
      <c r="EWY75" s="114"/>
      <c r="EWZ75" s="115"/>
      <c r="EXA75" s="18"/>
      <c r="EXB75" s="52"/>
      <c r="EXC75" s="53"/>
      <c r="EXD75" s="54"/>
      <c r="EXE75" s="11"/>
      <c r="EXF75" s="14"/>
      <c r="EXG75" s="113"/>
      <c r="EXH75" s="114"/>
      <c r="EXI75" s="115"/>
      <c r="EXJ75" s="18"/>
      <c r="EXK75" s="52"/>
      <c r="EXL75" s="53"/>
      <c r="EXM75" s="54"/>
      <c r="EXN75" s="11"/>
      <c r="EXO75" s="14"/>
      <c r="EXP75" s="113"/>
      <c r="EXQ75" s="114"/>
      <c r="EXR75" s="115"/>
      <c r="EXS75" s="18"/>
      <c r="EXT75" s="52"/>
      <c r="EXU75" s="53"/>
      <c r="EXV75" s="54"/>
      <c r="EXW75" s="11"/>
      <c r="EXX75" s="14"/>
      <c r="EXY75" s="113"/>
      <c r="EXZ75" s="114"/>
      <c r="EYA75" s="115"/>
      <c r="EYB75" s="18"/>
      <c r="EYC75" s="52"/>
      <c r="EYD75" s="53"/>
      <c r="EYE75" s="54"/>
      <c r="EYF75" s="11"/>
      <c r="EYG75" s="14"/>
      <c r="EYH75" s="113"/>
      <c r="EYI75" s="114"/>
      <c r="EYJ75" s="115"/>
      <c r="EYK75" s="18"/>
      <c r="EYL75" s="52"/>
      <c r="EYM75" s="53"/>
      <c r="EYN75" s="54"/>
      <c r="EYO75" s="11"/>
      <c r="EYP75" s="14"/>
      <c r="EYQ75" s="113"/>
      <c r="EYR75" s="114"/>
      <c r="EYS75" s="115"/>
      <c r="EYT75" s="18"/>
      <c r="EYU75" s="52"/>
      <c r="EYV75" s="53"/>
      <c r="EYW75" s="54"/>
      <c r="EYX75" s="11"/>
      <c r="EYY75" s="14"/>
      <c r="EYZ75" s="113"/>
      <c r="EZA75" s="114"/>
      <c r="EZB75" s="115"/>
      <c r="EZC75" s="18"/>
      <c r="EZD75" s="52"/>
      <c r="EZE75" s="53"/>
      <c r="EZF75" s="54"/>
      <c r="EZG75" s="11"/>
      <c r="EZH75" s="14"/>
      <c r="EZI75" s="113"/>
      <c r="EZJ75" s="114"/>
      <c r="EZK75" s="115"/>
      <c r="EZL75" s="18"/>
      <c r="EZM75" s="52"/>
      <c r="EZN75" s="53"/>
      <c r="EZO75" s="54"/>
      <c r="EZP75" s="11"/>
      <c r="EZQ75" s="14"/>
      <c r="EZR75" s="113"/>
      <c r="EZS75" s="114"/>
      <c r="EZT75" s="115"/>
      <c r="EZU75" s="18"/>
      <c r="EZV75" s="52"/>
      <c r="EZW75" s="53"/>
      <c r="EZX75" s="54"/>
      <c r="EZY75" s="11"/>
      <c r="EZZ75" s="14"/>
      <c r="FAA75" s="113"/>
      <c r="FAB75" s="114"/>
      <c r="FAC75" s="115"/>
      <c r="FAD75" s="18"/>
      <c r="FAE75" s="52"/>
      <c r="FAF75" s="53"/>
      <c r="FAG75" s="54"/>
      <c r="FAH75" s="11"/>
      <c r="FAI75" s="14"/>
      <c r="FAJ75" s="113"/>
      <c r="FAK75" s="114"/>
      <c r="FAL75" s="115"/>
      <c r="FAM75" s="18"/>
      <c r="FAN75" s="52"/>
      <c r="FAO75" s="53"/>
      <c r="FAP75" s="54"/>
      <c r="FAQ75" s="11"/>
      <c r="FAR75" s="14"/>
      <c r="FAS75" s="113"/>
      <c r="FAT75" s="114"/>
      <c r="FAU75" s="115"/>
      <c r="FAV75" s="18"/>
      <c r="FAW75" s="52"/>
      <c r="FAX75" s="53"/>
      <c r="FAY75" s="54"/>
      <c r="FAZ75" s="11"/>
      <c r="FBA75" s="14"/>
      <c r="FBB75" s="113"/>
      <c r="FBC75" s="114"/>
      <c r="FBD75" s="115"/>
      <c r="FBE75" s="18"/>
      <c r="FBF75" s="52"/>
      <c r="FBG75" s="53"/>
      <c r="FBH75" s="54"/>
      <c r="FBI75" s="11"/>
      <c r="FBJ75" s="14"/>
      <c r="FBK75" s="113"/>
      <c r="FBL75" s="114"/>
      <c r="FBM75" s="115"/>
      <c r="FBN75" s="18"/>
      <c r="FBO75" s="52"/>
      <c r="FBP75" s="53"/>
      <c r="FBQ75" s="54"/>
      <c r="FBR75" s="11"/>
      <c r="FBS75" s="14"/>
      <c r="FBT75" s="113"/>
      <c r="FBU75" s="114"/>
      <c r="FBV75" s="115"/>
      <c r="FBW75" s="18"/>
      <c r="FBX75" s="52"/>
      <c r="FBY75" s="53"/>
      <c r="FBZ75" s="54"/>
      <c r="FCA75" s="11"/>
      <c r="FCB75" s="14"/>
      <c r="FCC75" s="113"/>
      <c r="FCD75" s="114"/>
      <c r="FCE75" s="115"/>
      <c r="FCF75" s="18"/>
      <c r="FCG75" s="52"/>
      <c r="FCH75" s="53"/>
      <c r="FCI75" s="54"/>
      <c r="FCJ75" s="11"/>
      <c r="FCK75" s="14"/>
      <c r="FCL75" s="113"/>
      <c r="FCM75" s="114"/>
      <c r="FCN75" s="115"/>
      <c r="FCO75" s="18"/>
      <c r="FCP75" s="52"/>
      <c r="FCQ75" s="53"/>
      <c r="FCR75" s="54"/>
      <c r="FCS75" s="11"/>
      <c r="FCT75" s="14"/>
      <c r="FCU75" s="113"/>
      <c r="FCV75" s="114"/>
      <c r="FCW75" s="115"/>
      <c r="FCX75" s="18"/>
      <c r="FCY75" s="52"/>
      <c r="FCZ75" s="53"/>
      <c r="FDA75" s="54"/>
      <c r="FDB75" s="11"/>
      <c r="FDC75" s="14"/>
      <c r="FDD75" s="113"/>
      <c r="FDE75" s="114"/>
      <c r="FDF75" s="115"/>
      <c r="FDG75" s="18"/>
      <c r="FDH75" s="52"/>
      <c r="FDI75" s="53"/>
      <c r="FDJ75" s="54"/>
      <c r="FDK75" s="11"/>
      <c r="FDL75" s="14"/>
      <c r="FDM75" s="113"/>
      <c r="FDN75" s="114"/>
      <c r="FDO75" s="115"/>
      <c r="FDP75" s="18"/>
      <c r="FDQ75" s="52"/>
      <c r="FDR75" s="53"/>
      <c r="FDS75" s="54"/>
      <c r="FDT75" s="11"/>
      <c r="FDU75" s="14"/>
      <c r="FDV75" s="113"/>
      <c r="FDW75" s="114"/>
      <c r="FDX75" s="115"/>
      <c r="FDY75" s="18"/>
      <c r="FDZ75" s="52"/>
      <c r="FEA75" s="53"/>
      <c r="FEB75" s="54"/>
      <c r="FEC75" s="11"/>
      <c r="FED75" s="14"/>
      <c r="FEE75" s="113"/>
      <c r="FEF75" s="114"/>
      <c r="FEG75" s="115"/>
      <c r="FEH75" s="18"/>
      <c r="FEI75" s="52"/>
      <c r="FEJ75" s="53"/>
      <c r="FEK75" s="54"/>
      <c r="FEL75" s="11"/>
      <c r="FEM75" s="14"/>
      <c r="FEN75" s="113"/>
      <c r="FEO75" s="114"/>
      <c r="FEP75" s="115"/>
      <c r="FEQ75" s="18"/>
      <c r="FER75" s="52"/>
      <c r="FES75" s="53"/>
      <c r="FET75" s="54"/>
      <c r="FEU75" s="11"/>
      <c r="FEV75" s="14"/>
      <c r="FEW75" s="113"/>
      <c r="FEX75" s="114"/>
      <c r="FEY75" s="115"/>
      <c r="FEZ75" s="18"/>
      <c r="FFA75" s="52"/>
      <c r="FFB75" s="53"/>
      <c r="FFC75" s="54"/>
      <c r="FFD75" s="11"/>
      <c r="FFE75" s="14"/>
      <c r="FFF75" s="113"/>
      <c r="FFG75" s="114"/>
      <c r="FFH75" s="115"/>
      <c r="FFI75" s="18"/>
      <c r="FFJ75" s="52"/>
      <c r="FFK75" s="53"/>
      <c r="FFL75" s="54"/>
      <c r="FFM75" s="11"/>
      <c r="FFN75" s="14"/>
      <c r="FFO75" s="113"/>
      <c r="FFP75" s="114"/>
      <c r="FFQ75" s="115"/>
      <c r="FFR75" s="18"/>
      <c r="FFS75" s="52"/>
      <c r="FFT75" s="53"/>
      <c r="FFU75" s="54"/>
      <c r="FFV75" s="11"/>
      <c r="FFW75" s="14"/>
      <c r="FFX75" s="113"/>
      <c r="FFY75" s="114"/>
      <c r="FFZ75" s="115"/>
      <c r="FGA75" s="18"/>
      <c r="FGB75" s="52"/>
      <c r="FGC75" s="53"/>
      <c r="FGD75" s="54"/>
      <c r="FGE75" s="11"/>
      <c r="FGF75" s="14"/>
      <c r="FGG75" s="113"/>
      <c r="FGH75" s="114"/>
      <c r="FGI75" s="115"/>
      <c r="FGJ75" s="18"/>
      <c r="FGK75" s="52"/>
      <c r="FGL75" s="53"/>
      <c r="FGM75" s="54"/>
      <c r="FGN75" s="11"/>
      <c r="FGO75" s="14"/>
      <c r="FGP75" s="113"/>
      <c r="FGQ75" s="114"/>
      <c r="FGR75" s="115"/>
      <c r="FGS75" s="18"/>
      <c r="FGT75" s="52"/>
      <c r="FGU75" s="53"/>
      <c r="FGV75" s="54"/>
      <c r="FGW75" s="11"/>
      <c r="FGX75" s="14"/>
      <c r="FGY75" s="113"/>
      <c r="FGZ75" s="114"/>
      <c r="FHA75" s="115"/>
      <c r="FHB75" s="18"/>
      <c r="FHC75" s="52"/>
      <c r="FHD75" s="53"/>
      <c r="FHE75" s="54"/>
      <c r="FHF75" s="11"/>
      <c r="FHG75" s="14"/>
      <c r="FHH75" s="113"/>
      <c r="FHI75" s="114"/>
      <c r="FHJ75" s="115"/>
      <c r="FHK75" s="18"/>
      <c r="FHL75" s="52"/>
      <c r="FHM75" s="53"/>
      <c r="FHN75" s="54"/>
      <c r="FHO75" s="11"/>
      <c r="FHP75" s="14"/>
      <c r="FHQ75" s="113"/>
      <c r="FHR75" s="114"/>
      <c r="FHS75" s="115"/>
      <c r="FHT75" s="18"/>
      <c r="FHU75" s="52"/>
      <c r="FHV75" s="53"/>
      <c r="FHW75" s="54"/>
      <c r="FHX75" s="11"/>
      <c r="FHY75" s="14"/>
      <c r="FHZ75" s="113"/>
      <c r="FIA75" s="114"/>
      <c r="FIB75" s="115"/>
      <c r="FIC75" s="18"/>
      <c r="FID75" s="52"/>
      <c r="FIE75" s="53"/>
      <c r="FIF75" s="54"/>
      <c r="FIG75" s="11"/>
      <c r="FIH75" s="14"/>
      <c r="FII75" s="113"/>
      <c r="FIJ75" s="114"/>
      <c r="FIK75" s="115"/>
      <c r="FIL75" s="18"/>
      <c r="FIM75" s="52"/>
      <c r="FIN75" s="53"/>
      <c r="FIO75" s="54"/>
      <c r="FIP75" s="11"/>
      <c r="FIQ75" s="14"/>
      <c r="FIR75" s="113"/>
      <c r="FIS75" s="114"/>
      <c r="FIT75" s="115"/>
      <c r="FIU75" s="18"/>
      <c r="FIV75" s="52"/>
      <c r="FIW75" s="53"/>
      <c r="FIX75" s="54"/>
      <c r="FIY75" s="11"/>
      <c r="FIZ75" s="14"/>
      <c r="FJA75" s="113"/>
      <c r="FJB75" s="114"/>
      <c r="FJC75" s="115"/>
      <c r="FJD75" s="18"/>
      <c r="FJE75" s="52"/>
      <c r="FJF75" s="53"/>
      <c r="FJG75" s="54"/>
      <c r="FJH75" s="11"/>
      <c r="FJI75" s="14"/>
      <c r="FJJ75" s="113"/>
      <c r="FJK75" s="114"/>
      <c r="FJL75" s="115"/>
      <c r="FJM75" s="18"/>
      <c r="FJN75" s="52"/>
      <c r="FJO75" s="53"/>
      <c r="FJP75" s="54"/>
      <c r="FJQ75" s="11"/>
      <c r="FJR75" s="14"/>
      <c r="FJS75" s="113"/>
      <c r="FJT75" s="114"/>
      <c r="FJU75" s="115"/>
      <c r="FJV75" s="18"/>
      <c r="FJW75" s="52"/>
      <c r="FJX75" s="53"/>
      <c r="FJY75" s="54"/>
      <c r="FJZ75" s="11"/>
      <c r="FKA75" s="14"/>
      <c r="FKB75" s="113"/>
      <c r="FKC75" s="114"/>
      <c r="FKD75" s="115"/>
      <c r="FKE75" s="18"/>
      <c r="FKF75" s="52"/>
      <c r="FKG75" s="53"/>
      <c r="FKH75" s="54"/>
      <c r="FKI75" s="11"/>
      <c r="FKJ75" s="14"/>
      <c r="FKK75" s="113"/>
      <c r="FKL75" s="114"/>
      <c r="FKM75" s="115"/>
      <c r="FKN75" s="18"/>
      <c r="FKO75" s="52"/>
      <c r="FKP75" s="53"/>
      <c r="FKQ75" s="54"/>
      <c r="FKR75" s="11"/>
      <c r="FKS75" s="14"/>
      <c r="FKT75" s="113"/>
      <c r="FKU75" s="114"/>
      <c r="FKV75" s="115"/>
      <c r="FKW75" s="18"/>
      <c r="FKX75" s="52"/>
      <c r="FKY75" s="53"/>
      <c r="FKZ75" s="54"/>
      <c r="FLA75" s="11"/>
      <c r="FLB75" s="14"/>
      <c r="FLC75" s="113"/>
      <c r="FLD75" s="114"/>
      <c r="FLE75" s="115"/>
      <c r="FLF75" s="18"/>
      <c r="FLG75" s="52"/>
      <c r="FLH75" s="53"/>
      <c r="FLI75" s="54"/>
      <c r="FLJ75" s="11"/>
      <c r="FLK75" s="14"/>
      <c r="FLL75" s="113"/>
      <c r="FLM75" s="114"/>
      <c r="FLN75" s="115"/>
      <c r="FLO75" s="18"/>
      <c r="FLP75" s="52"/>
      <c r="FLQ75" s="53"/>
      <c r="FLR75" s="54"/>
      <c r="FLS75" s="11"/>
      <c r="FLT75" s="14"/>
      <c r="FLU75" s="113"/>
      <c r="FLV75" s="114"/>
      <c r="FLW75" s="115"/>
      <c r="FLX75" s="18"/>
      <c r="FLY75" s="52"/>
      <c r="FLZ75" s="53"/>
      <c r="FMA75" s="54"/>
      <c r="FMB75" s="11"/>
      <c r="FMC75" s="14"/>
      <c r="FMD75" s="113"/>
      <c r="FME75" s="114"/>
      <c r="FMF75" s="115"/>
      <c r="FMG75" s="18"/>
      <c r="FMH75" s="52"/>
      <c r="FMI75" s="53"/>
      <c r="FMJ75" s="54"/>
      <c r="FMK75" s="11"/>
      <c r="FML75" s="14"/>
      <c r="FMM75" s="113"/>
      <c r="FMN75" s="114"/>
      <c r="FMO75" s="115"/>
      <c r="FMP75" s="18"/>
      <c r="FMQ75" s="52"/>
      <c r="FMR75" s="53"/>
      <c r="FMS75" s="54"/>
      <c r="FMT75" s="11"/>
      <c r="FMU75" s="14"/>
      <c r="FMV75" s="113"/>
      <c r="FMW75" s="114"/>
      <c r="FMX75" s="115"/>
      <c r="FMY75" s="18"/>
      <c r="FMZ75" s="52"/>
      <c r="FNA75" s="53"/>
      <c r="FNB75" s="54"/>
      <c r="FNC75" s="11"/>
      <c r="FND75" s="14"/>
      <c r="FNE75" s="113"/>
      <c r="FNF75" s="114"/>
      <c r="FNG75" s="115"/>
      <c r="FNH75" s="18"/>
      <c r="FNI75" s="52"/>
      <c r="FNJ75" s="53"/>
      <c r="FNK75" s="54"/>
      <c r="FNL75" s="11"/>
      <c r="FNM75" s="14"/>
      <c r="FNN75" s="113"/>
      <c r="FNO75" s="114"/>
      <c r="FNP75" s="115"/>
      <c r="FNQ75" s="18"/>
      <c r="FNR75" s="52"/>
      <c r="FNS75" s="53"/>
      <c r="FNT75" s="54"/>
      <c r="FNU75" s="11"/>
      <c r="FNV75" s="14"/>
      <c r="FNW75" s="113"/>
      <c r="FNX75" s="114"/>
      <c r="FNY75" s="115"/>
      <c r="FNZ75" s="18"/>
      <c r="FOA75" s="52"/>
      <c r="FOB75" s="53"/>
      <c r="FOC75" s="54"/>
      <c r="FOD75" s="11"/>
      <c r="FOE75" s="14"/>
      <c r="FOF75" s="113"/>
      <c r="FOG75" s="114"/>
      <c r="FOH75" s="115"/>
      <c r="FOI75" s="18"/>
      <c r="FOJ75" s="52"/>
      <c r="FOK75" s="53"/>
      <c r="FOL75" s="54"/>
      <c r="FOM75" s="11"/>
      <c r="FON75" s="14"/>
      <c r="FOO75" s="113"/>
      <c r="FOP75" s="114"/>
      <c r="FOQ75" s="115"/>
      <c r="FOR75" s="18"/>
      <c r="FOS75" s="52"/>
      <c r="FOT75" s="53"/>
      <c r="FOU75" s="54"/>
      <c r="FOV75" s="11"/>
      <c r="FOW75" s="14"/>
      <c r="FOX75" s="113"/>
      <c r="FOY75" s="114"/>
      <c r="FOZ75" s="115"/>
      <c r="FPA75" s="18"/>
      <c r="FPB75" s="52"/>
      <c r="FPC75" s="53"/>
      <c r="FPD75" s="54"/>
      <c r="FPE75" s="11"/>
      <c r="FPF75" s="14"/>
      <c r="FPG75" s="113"/>
      <c r="FPH75" s="114"/>
      <c r="FPI75" s="115"/>
      <c r="FPJ75" s="18"/>
      <c r="FPK75" s="52"/>
      <c r="FPL75" s="53"/>
      <c r="FPM75" s="54"/>
      <c r="FPN75" s="11"/>
      <c r="FPO75" s="14"/>
      <c r="FPP75" s="113"/>
      <c r="FPQ75" s="114"/>
      <c r="FPR75" s="115"/>
      <c r="FPS75" s="18"/>
      <c r="FPT75" s="52"/>
      <c r="FPU75" s="53"/>
      <c r="FPV75" s="54"/>
      <c r="FPW75" s="11"/>
      <c r="FPX75" s="14"/>
      <c r="FPY75" s="113"/>
      <c r="FPZ75" s="114"/>
      <c r="FQA75" s="115"/>
      <c r="FQB75" s="18"/>
      <c r="FQC75" s="52"/>
      <c r="FQD75" s="53"/>
      <c r="FQE75" s="54"/>
      <c r="FQF75" s="11"/>
      <c r="FQG75" s="14"/>
      <c r="FQH75" s="113"/>
      <c r="FQI75" s="114"/>
      <c r="FQJ75" s="115"/>
      <c r="FQK75" s="18"/>
      <c r="FQL75" s="52"/>
      <c r="FQM75" s="53"/>
      <c r="FQN75" s="54"/>
      <c r="FQO75" s="11"/>
      <c r="FQP75" s="14"/>
      <c r="FQQ75" s="113"/>
      <c r="FQR75" s="114"/>
      <c r="FQS75" s="115"/>
      <c r="FQT75" s="18"/>
      <c r="FQU75" s="52"/>
      <c r="FQV75" s="53"/>
      <c r="FQW75" s="54"/>
      <c r="FQX75" s="11"/>
      <c r="FQY75" s="14"/>
      <c r="FQZ75" s="113"/>
      <c r="FRA75" s="114"/>
      <c r="FRB75" s="115"/>
      <c r="FRC75" s="18"/>
      <c r="FRD75" s="52"/>
      <c r="FRE75" s="53"/>
      <c r="FRF75" s="54"/>
      <c r="FRG75" s="11"/>
      <c r="FRH75" s="14"/>
      <c r="FRI75" s="113"/>
      <c r="FRJ75" s="114"/>
      <c r="FRK75" s="115"/>
      <c r="FRL75" s="18"/>
      <c r="FRM75" s="52"/>
      <c r="FRN75" s="53"/>
      <c r="FRO75" s="54"/>
      <c r="FRP75" s="11"/>
      <c r="FRQ75" s="14"/>
      <c r="FRR75" s="113"/>
      <c r="FRS75" s="114"/>
      <c r="FRT75" s="115"/>
      <c r="FRU75" s="18"/>
      <c r="FRV75" s="52"/>
      <c r="FRW75" s="53"/>
      <c r="FRX75" s="54"/>
      <c r="FRY75" s="11"/>
      <c r="FRZ75" s="14"/>
      <c r="FSA75" s="113"/>
      <c r="FSB75" s="114"/>
      <c r="FSC75" s="115"/>
      <c r="FSD75" s="18"/>
      <c r="FSE75" s="52"/>
      <c r="FSF75" s="53"/>
      <c r="FSG75" s="54"/>
      <c r="FSH75" s="11"/>
      <c r="FSI75" s="14"/>
      <c r="FSJ75" s="113"/>
      <c r="FSK75" s="114"/>
      <c r="FSL75" s="115"/>
      <c r="FSM75" s="18"/>
      <c r="FSN75" s="52"/>
      <c r="FSO75" s="53"/>
      <c r="FSP75" s="54"/>
      <c r="FSQ75" s="11"/>
      <c r="FSR75" s="14"/>
      <c r="FSS75" s="113"/>
      <c r="FST75" s="114"/>
      <c r="FSU75" s="115"/>
      <c r="FSV75" s="18"/>
      <c r="FSW75" s="52"/>
      <c r="FSX75" s="53"/>
      <c r="FSY75" s="54"/>
      <c r="FSZ75" s="11"/>
      <c r="FTA75" s="14"/>
      <c r="FTB75" s="113"/>
      <c r="FTC75" s="114"/>
      <c r="FTD75" s="115"/>
      <c r="FTE75" s="18"/>
      <c r="FTF75" s="52"/>
      <c r="FTG75" s="53"/>
      <c r="FTH75" s="54"/>
      <c r="FTI75" s="11"/>
      <c r="FTJ75" s="14"/>
      <c r="FTK75" s="113"/>
      <c r="FTL75" s="114"/>
      <c r="FTM75" s="115"/>
      <c r="FTN75" s="18"/>
      <c r="FTO75" s="52"/>
      <c r="FTP75" s="53"/>
      <c r="FTQ75" s="54"/>
      <c r="FTR75" s="11"/>
      <c r="FTS75" s="14"/>
      <c r="FTT75" s="113"/>
      <c r="FTU75" s="114"/>
      <c r="FTV75" s="115"/>
      <c r="FTW75" s="18"/>
      <c r="FTX75" s="52"/>
      <c r="FTY75" s="53"/>
      <c r="FTZ75" s="54"/>
      <c r="FUA75" s="11"/>
      <c r="FUB75" s="14"/>
      <c r="FUC75" s="113"/>
      <c r="FUD75" s="114"/>
      <c r="FUE75" s="115"/>
      <c r="FUF75" s="18"/>
      <c r="FUG75" s="52"/>
      <c r="FUH75" s="53"/>
      <c r="FUI75" s="54"/>
      <c r="FUJ75" s="11"/>
      <c r="FUK75" s="14"/>
      <c r="FUL75" s="113"/>
      <c r="FUM75" s="114"/>
      <c r="FUN75" s="115"/>
      <c r="FUO75" s="18"/>
      <c r="FUP75" s="52"/>
      <c r="FUQ75" s="53"/>
      <c r="FUR75" s="54"/>
      <c r="FUS75" s="11"/>
      <c r="FUT75" s="14"/>
      <c r="FUU75" s="113"/>
      <c r="FUV75" s="114"/>
      <c r="FUW75" s="115"/>
      <c r="FUX75" s="18"/>
      <c r="FUY75" s="52"/>
      <c r="FUZ75" s="53"/>
      <c r="FVA75" s="54"/>
      <c r="FVB75" s="11"/>
      <c r="FVC75" s="14"/>
      <c r="FVD75" s="113"/>
      <c r="FVE75" s="114"/>
      <c r="FVF75" s="115"/>
      <c r="FVG75" s="18"/>
      <c r="FVH75" s="52"/>
      <c r="FVI75" s="53"/>
      <c r="FVJ75" s="54"/>
      <c r="FVK75" s="11"/>
      <c r="FVL75" s="14"/>
      <c r="FVM75" s="113"/>
      <c r="FVN75" s="114"/>
      <c r="FVO75" s="115"/>
      <c r="FVP75" s="18"/>
      <c r="FVQ75" s="52"/>
      <c r="FVR75" s="53"/>
      <c r="FVS75" s="54"/>
      <c r="FVT75" s="11"/>
      <c r="FVU75" s="14"/>
      <c r="FVV75" s="113"/>
      <c r="FVW75" s="114"/>
      <c r="FVX75" s="115"/>
      <c r="FVY75" s="18"/>
      <c r="FVZ75" s="52"/>
      <c r="FWA75" s="53"/>
      <c r="FWB75" s="54"/>
      <c r="FWC75" s="11"/>
      <c r="FWD75" s="14"/>
      <c r="FWE75" s="113"/>
      <c r="FWF75" s="114"/>
      <c r="FWG75" s="115"/>
      <c r="FWH75" s="18"/>
      <c r="FWI75" s="52"/>
      <c r="FWJ75" s="53"/>
      <c r="FWK75" s="54"/>
      <c r="FWL75" s="11"/>
      <c r="FWM75" s="14"/>
      <c r="FWN75" s="113"/>
      <c r="FWO75" s="114"/>
      <c r="FWP75" s="115"/>
      <c r="FWQ75" s="18"/>
      <c r="FWR75" s="52"/>
      <c r="FWS75" s="53"/>
      <c r="FWT75" s="54"/>
      <c r="FWU75" s="11"/>
      <c r="FWV75" s="14"/>
      <c r="FWW75" s="113"/>
      <c r="FWX75" s="114"/>
      <c r="FWY75" s="115"/>
      <c r="FWZ75" s="18"/>
      <c r="FXA75" s="52"/>
      <c r="FXB75" s="53"/>
      <c r="FXC75" s="54"/>
      <c r="FXD75" s="11"/>
      <c r="FXE75" s="14"/>
      <c r="FXF75" s="113"/>
      <c r="FXG75" s="114"/>
      <c r="FXH75" s="115"/>
      <c r="FXI75" s="18"/>
      <c r="FXJ75" s="52"/>
      <c r="FXK75" s="53"/>
      <c r="FXL75" s="54"/>
      <c r="FXM75" s="11"/>
      <c r="FXN75" s="14"/>
      <c r="FXO75" s="113"/>
      <c r="FXP75" s="114"/>
      <c r="FXQ75" s="115"/>
      <c r="FXR75" s="18"/>
      <c r="FXS75" s="52"/>
      <c r="FXT75" s="53"/>
      <c r="FXU75" s="54"/>
      <c r="FXV75" s="11"/>
      <c r="FXW75" s="14"/>
      <c r="FXX75" s="113"/>
      <c r="FXY75" s="114"/>
      <c r="FXZ75" s="115"/>
      <c r="FYA75" s="18"/>
      <c r="FYB75" s="52"/>
      <c r="FYC75" s="53"/>
      <c r="FYD75" s="54"/>
      <c r="FYE75" s="11"/>
      <c r="FYF75" s="14"/>
      <c r="FYG75" s="113"/>
      <c r="FYH75" s="114"/>
      <c r="FYI75" s="115"/>
      <c r="FYJ75" s="18"/>
      <c r="FYK75" s="52"/>
      <c r="FYL75" s="53"/>
      <c r="FYM75" s="54"/>
      <c r="FYN75" s="11"/>
      <c r="FYO75" s="14"/>
      <c r="FYP75" s="113"/>
      <c r="FYQ75" s="114"/>
      <c r="FYR75" s="115"/>
      <c r="FYS75" s="18"/>
      <c r="FYT75" s="52"/>
      <c r="FYU75" s="53"/>
      <c r="FYV75" s="54"/>
      <c r="FYW75" s="11"/>
      <c r="FYX75" s="14"/>
      <c r="FYY75" s="113"/>
      <c r="FYZ75" s="114"/>
      <c r="FZA75" s="115"/>
      <c r="FZB75" s="18"/>
      <c r="FZC75" s="52"/>
      <c r="FZD75" s="53"/>
      <c r="FZE75" s="54"/>
      <c r="FZF75" s="11"/>
      <c r="FZG75" s="14"/>
      <c r="FZH75" s="113"/>
      <c r="FZI75" s="114"/>
      <c r="FZJ75" s="115"/>
      <c r="FZK75" s="18"/>
      <c r="FZL75" s="52"/>
      <c r="FZM75" s="53"/>
      <c r="FZN75" s="54"/>
      <c r="FZO75" s="11"/>
      <c r="FZP75" s="14"/>
      <c r="FZQ75" s="113"/>
      <c r="FZR75" s="114"/>
      <c r="FZS75" s="115"/>
      <c r="FZT75" s="18"/>
      <c r="FZU75" s="52"/>
      <c r="FZV75" s="53"/>
      <c r="FZW75" s="54"/>
      <c r="FZX75" s="11"/>
      <c r="FZY75" s="14"/>
      <c r="FZZ75" s="113"/>
      <c r="GAA75" s="114"/>
      <c r="GAB75" s="115"/>
      <c r="GAC75" s="18"/>
      <c r="GAD75" s="52"/>
      <c r="GAE75" s="53"/>
      <c r="GAF75" s="54"/>
      <c r="GAG75" s="11"/>
      <c r="GAH75" s="14"/>
      <c r="GAI75" s="113"/>
      <c r="GAJ75" s="114"/>
      <c r="GAK75" s="115"/>
      <c r="GAL75" s="18"/>
      <c r="GAM75" s="52"/>
      <c r="GAN75" s="53"/>
      <c r="GAO75" s="54"/>
      <c r="GAP75" s="11"/>
      <c r="GAQ75" s="14"/>
      <c r="GAR75" s="113"/>
      <c r="GAS75" s="114"/>
      <c r="GAT75" s="115"/>
      <c r="GAU75" s="18"/>
      <c r="GAV75" s="52"/>
      <c r="GAW75" s="53"/>
      <c r="GAX75" s="54"/>
      <c r="GAY75" s="11"/>
      <c r="GAZ75" s="14"/>
      <c r="GBA75" s="113"/>
      <c r="GBB75" s="114"/>
      <c r="GBC75" s="115"/>
      <c r="GBD75" s="18"/>
      <c r="GBE75" s="52"/>
      <c r="GBF75" s="53"/>
      <c r="GBG75" s="54"/>
      <c r="GBH75" s="11"/>
      <c r="GBI75" s="14"/>
      <c r="GBJ75" s="113"/>
      <c r="GBK75" s="114"/>
      <c r="GBL75" s="115"/>
      <c r="GBM75" s="18"/>
      <c r="GBN75" s="52"/>
      <c r="GBO75" s="53"/>
      <c r="GBP75" s="54"/>
      <c r="GBQ75" s="11"/>
      <c r="GBR75" s="14"/>
      <c r="GBS75" s="113"/>
      <c r="GBT75" s="114"/>
      <c r="GBU75" s="115"/>
      <c r="GBV75" s="18"/>
      <c r="GBW75" s="52"/>
      <c r="GBX75" s="53"/>
      <c r="GBY75" s="54"/>
      <c r="GBZ75" s="11"/>
      <c r="GCA75" s="14"/>
      <c r="GCB75" s="113"/>
      <c r="GCC75" s="114"/>
      <c r="GCD75" s="115"/>
      <c r="GCE75" s="18"/>
      <c r="GCF75" s="52"/>
      <c r="GCG75" s="53"/>
      <c r="GCH75" s="54"/>
      <c r="GCI75" s="11"/>
      <c r="GCJ75" s="14"/>
      <c r="GCK75" s="113"/>
      <c r="GCL75" s="114"/>
      <c r="GCM75" s="115"/>
      <c r="GCN75" s="18"/>
      <c r="GCO75" s="52"/>
      <c r="GCP75" s="53"/>
      <c r="GCQ75" s="54"/>
      <c r="GCR75" s="11"/>
      <c r="GCS75" s="14"/>
      <c r="GCT75" s="113"/>
      <c r="GCU75" s="114"/>
      <c r="GCV75" s="115"/>
      <c r="GCW75" s="18"/>
      <c r="GCX75" s="52"/>
      <c r="GCY75" s="53"/>
      <c r="GCZ75" s="54"/>
      <c r="GDA75" s="11"/>
      <c r="GDB75" s="14"/>
      <c r="GDC75" s="113"/>
      <c r="GDD75" s="114"/>
      <c r="GDE75" s="115"/>
      <c r="GDF75" s="18"/>
      <c r="GDG75" s="52"/>
      <c r="GDH75" s="53"/>
      <c r="GDI75" s="54"/>
      <c r="GDJ75" s="11"/>
      <c r="GDK75" s="14"/>
      <c r="GDL75" s="113"/>
      <c r="GDM75" s="114"/>
      <c r="GDN75" s="115"/>
      <c r="GDO75" s="18"/>
      <c r="GDP75" s="52"/>
      <c r="GDQ75" s="53"/>
      <c r="GDR75" s="54"/>
      <c r="GDS75" s="11"/>
      <c r="GDT75" s="14"/>
      <c r="GDU75" s="113"/>
      <c r="GDV75" s="114"/>
      <c r="GDW75" s="115"/>
      <c r="GDX75" s="18"/>
      <c r="GDY75" s="52"/>
      <c r="GDZ75" s="53"/>
      <c r="GEA75" s="54"/>
      <c r="GEB75" s="11"/>
      <c r="GEC75" s="14"/>
      <c r="GED75" s="113"/>
      <c r="GEE75" s="114"/>
      <c r="GEF75" s="115"/>
      <c r="GEG75" s="18"/>
      <c r="GEH75" s="52"/>
      <c r="GEI75" s="53"/>
      <c r="GEJ75" s="54"/>
      <c r="GEK75" s="11"/>
      <c r="GEL75" s="14"/>
      <c r="GEM75" s="113"/>
      <c r="GEN75" s="114"/>
      <c r="GEO75" s="115"/>
      <c r="GEP75" s="18"/>
      <c r="GEQ75" s="52"/>
      <c r="GER75" s="53"/>
      <c r="GES75" s="54"/>
      <c r="GET75" s="11"/>
      <c r="GEU75" s="14"/>
      <c r="GEV75" s="113"/>
      <c r="GEW75" s="114"/>
      <c r="GEX75" s="115"/>
      <c r="GEY75" s="18"/>
      <c r="GEZ75" s="52"/>
      <c r="GFA75" s="53"/>
      <c r="GFB75" s="54"/>
      <c r="GFC75" s="11"/>
      <c r="GFD75" s="14"/>
      <c r="GFE75" s="113"/>
      <c r="GFF75" s="114"/>
      <c r="GFG75" s="115"/>
      <c r="GFH75" s="18"/>
      <c r="GFI75" s="52"/>
      <c r="GFJ75" s="53"/>
      <c r="GFK75" s="54"/>
      <c r="GFL75" s="11"/>
      <c r="GFM75" s="14"/>
      <c r="GFN75" s="113"/>
      <c r="GFO75" s="114"/>
      <c r="GFP75" s="115"/>
      <c r="GFQ75" s="18"/>
      <c r="GFR75" s="52"/>
      <c r="GFS75" s="53"/>
      <c r="GFT75" s="54"/>
      <c r="GFU75" s="11"/>
      <c r="GFV75" s="14"/>
      <c r="GFW75" s="113"/>
      <c r="GFX75" s="114"/>
      <c r="GFY75" s="115"/>
      <c r="GFZ75" s="18"/>
      <c r="GGA75" s="52"/>
      <c r="GGB75" s="53"/>
      <c r="GGC75" s="54"/>
      <c r="GGD75" s="11"/>
      <c r="GGE75" s="14"/>
      <c r="GGF75" s="113"/>
      <c r="GGG75" s="114"/>
      <c r="GGH75" s="115"/>
      <c r="GGI75" s="18"/>
      <c r="GGJ75" s="52"/>
      <c r="GGK75" s="53"/>
      <c r="GGL75" s="54"/>
      <c r="GGM75" s="11"/>
      <c r="GGN75" s="14"/>
      <c r="GGO75" s="113"/>
      <c r="GGP75" s="114"/>
      <c r="GGQ75" s="115"/>
      <c r="GGR75" s="18"/>
      <c r="GGS75" s="52"/>
      <c r="GGT75" s="53"/>
      <c r="GGU75" s="54"/>
      <c r="GGV75" s="11"/>
      <c r="GGW75" s="14"/>
      <c r="GGX75" s="113"/>
      <c r="GGY75" s="114"/>
      <c r="GGZ75" s="115"/>
      <c r="GHA75" s="18"/>
      <c r="GHB75" s="52"/>
      <c r="GHC75" s="53"/>
      <c r="GHD75" s="54"/>
      <c r="GHE75" s="11"/>
      <c r="GHF75" s="14"/>
      <c r="GHG75" s="113"/>
      <c r="GHH75" s="114"/>
      <c r="GHI75" s="115"/>
      <c r="GHJ75" s="18"/>
      <c r="GHK75" s="52"/>
      <c r="GHL75" s="53"/>
      <c r="GHM75" s="54"/>
      <c r="GHN75" s="11"/>
      <c r="GHO75" s="14"/>
      <c r="GHP75" s="113"/>
      <c r="GHQ75" s="114"/>
      <c r="GHR75" s="115"/>
      <c r="GHS75" s="18"/>
      <c r="GHT75" s="52"/>
      <c r="GHU75" s="53"/>
      <c r="GHV75" s="54"/>
      <c r="GHW75" s="11"/>
      <c r="GHX75" s="14"/>
      <c r="GHY75" s="113"/>
      <c r="GHZ75" s="114"/>
      <c r="GIA75" s="115"/>
      <c r="GIB75" s="18"/>
      <c r="GIC75" s="52"/>
      <c r="GID75" s="53"/>
      <c r="GIE75" s="54"/>
      <c r="GIF75" s="11"/>
      <c r="GIG75" s="14"/>
      <c r="GIH75" s="113"/>
      <c r="GII75" s="114"/>
      <c r="GIJ75" s="115"/>
      <c r="GIK75" s="18"/>
      <c r="GIL75" s="52"/>
      <c r="GIM75" s="53"/>
      <c r="GIN75" s="54"/>
      <c r="GIO75" s="11"/>
      <c r="GIP75" s="14"/>
      <c r="GIQ75" s="113"/>
      <c r="GIR75" s="114"/>
      <c r="GIS75" s="115"/>
      <c r="GIT75" s="18"/>
      <c r="GIU75" s="52"/>
      <c r="GIV75" s="53"/>
      <c r="GIW75" s="54"/>
      <c r="GIX75" s="11"/>
      <c r="GIY75" s="14"/>
      <c r="GIZ75" s="113"/>
      <c r="GJA75" s="114"/>
      <c r="GJB75" s="115"/>
      <c r="GJC75" s="18"/>
      <c r="GJD75" s="52"/>
      <c r="GJE75" s="53"/>
      <c r="GJF75" s="54"/>
      <c r="GJG75" s="11"/>
      <c r="GJH75" s="14"/>
      <c r="GJI75" s="113"/>
      <c r="GJJ75" s="114"/>
      <c r="GJK75" s="115"/>
      <c r="GJL75" s="18"/>
      <c r="GJM75" s="52"/>
      <c r="GJN75" s="53"/>
      <c r="GJO75" s="54"/>
      <c r="GJP75" s="11"/>
      <c r="GJQ75" s="14"/>
      <c r="GJR75" s="113"/>
      <c r="GJS75" s="114"/>
      <c r="GJT75" s="115"/>
      <c r="GJU75" s="18"/>
      <c r="GJV75" s="52"/>
      <c r="GJW75" s="53"/>
      <c r="GJX75" s="54"/>
      <c r="GJY75" s="11"/>
      <c r="GJZ75" s="14"/>
      <c r="GKA75" s="113"/>
      <c r="GKB75" s="114"/>
      <c r="GKC75" s="115"/>
      <c r="GKD75" s="18"/>
      <c r="GKE75" s="52"/>
      <c r="GKF75" s="53"/>
      <c r="GKG75" s="54"/>
      <c r="GKH75" s="11"/>
      <c r="GKI75" s="14"/>
      <c r="GKJ75" s="113"/>
      <c r="GKK75" s="114"/>
      <c r="GKL75" s="115"/>
      <c r="GKM75" s="18"/>
      <c r="GKN75" s="52"/>
      <c r="GKO75" s="53"/>
      <c r="GKP75" s="54"/>
      <c r="GKQ75" s="11"/>
      <c r="GKR75" s="14"/>
      <c r="GKS75" s="113"/>
      <c r="GKT75" s="114"/>
      <c r="GKU75" s="115"/>
      <c r="GKV75" s="18"/>
      <c r="GKW75" s="52"/>
      <c r="GKX75" s="53"/>
      <c r="GKY75" s="54"/>
      <c r="GKZ75" s="11"/>
      <c r="GLA75" s="14"/>
      <c r="GLB75" s="113"/>
      <c r="GLC75" s="114"/>
      <c r="GLD75" s="115"/>
      <c r="GLE75" s="18"/>
      <c r="GLF75" s="52"/>
      <c r="GLG75" s="53"/>
      <c r="GLH75" s="54"/>
      <c r="GLI75" s="11"/>
      <c r="GLJ75" s="14"/>
      <c r="GLK75" s="113"/>
      <c r="GLL75" s="114"/>
      <c r="GLM75" s="115"/>
      <c r="GLN75" s="18"/>
      <c r="GLO75" s="52"/>
      <c r="GLP75" s="53"/>
      <c r="GLQ75" s="54"/>
      <c r="GLR75" s="11"/>
      <c r="GLS75" s="14"/>
      <c r="GLT75" s="113"/>
      <c r="GLU75" s="114"/>
      <c r="GLV75" s="115"/>
      <c r="GLW75" s="18"/>
      <c r="GLX75" s="52"/>
      <c r="GLY75" s="53"/>
      <c r="GLZ75" s="54"/>
      <c r="GMA75" s="11"/>
      <c r="GMB75" s="14"/>
      <c r="GMC75" s="113"/>
      <c r="GMD75" s="114"/>
      <c r="GME75" s="115"/>
      <c r="GMF75" s="18"/>
      <c r="GMG75" s="52"/>
      <c r="GMH75" s="53"/>
      <c r="GMI75" s="54"/>
      <c r="GMJ75" s="11"/>
      <c r="GMK75" s="14"/>
      <c r="GML75" s="113"/>
      <c r="GMM75" s="114"/>
      <c r="GMN75" s="115"/>
      <c r="GMO75" s="18"/>
      <c r="GMP75" s="52"/>
      <c r="GMQ75" s="53"/>
      <c r="GMR75" s="54"/>
      <c r="GMS75" s="11"/>
      <c r="GMT75" s="14"/>
      <c r="GMU75" s="113"/>
      <c r="GMV75" s="114"/>
      <c r="GMW75" s="115"/>
      <c r="GMX75" s="18"/>
      <c r="GMY75" s="52"/>
      <c r="GMZ75" s="53"/>
      <c r="GNA75" s="54"/>
      <c r="GNB75" s="11"/>
      <c r="GNC75" s="14"/>
      <c r="GND75" s="113"/>
      <c r="GNE75" s="114"/>
      <c r="GNF75" s="115"/>
      <c r="GNG75" s="18"/>
      <c r="GNH75" s="52"/>
      <c r="GNI75" s="53"/>
      <c r="GNJ75" s="54"/>
      <c r="GNK75" s="11"/>
      <c r="GNL75" s="14"/>
      <c r="GNM75" s="113"/>
      <c r="GNN75" s="114"/>
      <c r="GNO75" s="115"/>
      <c r="GNP75" s="18"/>
      <c r="GNQ75" s="52"/>
      <c r="GNR75" s="53"/>
      <c r="GNS75" s="54"/>
      <c r="GNT75" s="11"/>
      <c r="GNU75" s="14"/>
      <c r="GNV75" s="113"/>
      <c r="GNW75" s="114"/>
      <c r="GNX75" s="115"/>
      <c r="GNY75" s="18"/>
      <c r="GNZ75" s="52"/>
      <c r="GOA75" s="53"/>
      <c r="GOB75" s="54"/>
      <c r="GOC75" s="11"/>
      <c r="GOD75" s="14"/>
      <c r="GOE75" s="113"/>
      <c r="GOF75" s="114"/>
      <c r="GOG75" s="115"/>
      <c r="GOH75" s="18"/>
      <c r="GOI75" s="52"/>
      <c r="GOJ75" s="53"/>
      <c r="GOK75" s="54"/>
      <c r="GOL75" s="11"/>
      <c r="GOM75" s="14"/>
      <c r="GON75" s="113"/>
      <c r="GOO75" s="114"/>
      <c r="GOP75" s="115"/>
      <c r="GOQ75" s="18"/>
      <c r="GOR75" s="52"/>
      <c r="GOS75" s="53"/>
      <c r="GOT75" s="54"/>
      <c r="GOU75" s="11"/>
      <c r="GOV75" s="14"/>
      <c r="GOW75" s="113"/>
      <c r="GOX75" s="114"/>
      <c r="GOY75" s="115"/>
      <c r="GOZ75" s="18"/>
      <c r="GPA75" s="52"/>
      <c r="GPB75" s="53"/>
      <c r="GPC75" s="54"/>
      <c r="GPD75" s="11"/>
      <c r="GPE75" s="14"/>
      <c r="GPF75" s="113"/>
      <c r="GPG75" s="114"/>
      <c r="GPH75" s="115"/>
      <c r="GPI75" s="18"/>
      <c r="GPJ75" s="52"/>
      <c r="GPK75" s="53"/>
      <c r="GPL75" s="54"/>
      <c r="GPM75" s="11"/>
      <c r="GPN75" s="14"/>
      <c r="GPO75" s="113"/>
      <c r="GPP75" s="114"/>
      <c r="GPQ75" s="115"/>
      <c r="GPR75" s="18"/>
      <c r="GPS75" s="52"/>
      <c r="GPT75" s="53"/>
      <c r="GPU75" s="54"/>
      <c r="GPV75" s="11"/>
      <c r="GPW75" s="14"/>
      <c r="GPX75" s="113"/>
      <c r="GPY75" s="114"/>
      <c r="GPZ75" s="115"/>
      <c r="GQA75" s="18"/>
      <c r="GQB75" s="52"/>
      <c r="GQC75" s="53"/>
      <c r="GQD75" s="54"/>
      <c r="GQE75" s="11"/>
      <c r="GQF75" s="14"/>
      <c r="GQG75" s="113"/>
      <c r="GQH75" s="114"/>
      <c r="GQI75" s="115"/>
      <c r="GQJ75" s="18"/>
      <c r="GQK75" s="52"/>
      <c r="GQL75" s="53"/>
      <c r="GQM75" s="54"/>
      <c r="GQN75" s="11"/>
      <c r="GQO75" s="14"/>
      <c r="GQP75" s="113"/>
      <c r="GQQ75" s="114"/>
      <c r="GQR75" s="115"/>
      <c r="GQS75" s="18"/>
      <c r="GQT75" s="52"/>
      <c r="GQU75" s="53"/>
      <c r="GQV75" s="54"/>
      <c r="GQW75" s="11"/>
      <c r="GQX75" s="14"/>
      <c r="GQY75" s="113"/>
      <c r="GQZ75" s="114"/>
      <c r="GRA75" s="115"/>
      <c r="GRB75" s="18"/>
      <c r="GRC75" s="52"/>
      <c r="GRD75" s="53"/>
      <c r="GRE75" s="54"/>
      <c r="GRF75" s="11"/>
      <c r="GRG75" s="14"/>
      <c r="GRH75" s="113"/>
      <c r="GRI75" s="114"/>
      <c r="GRJ75" s="115"/>
      <c r="GRK75" s="18"/>
      <c r="GRL75" s="52"/>
      <c r="GRM75" s="53"/>
      <c r="GRN75" s="54"/>
      <c r="GRO75" s="11"/>
      <c r="GRP75" s="14"/>
      <c r="GRQ75" s="113"/>
      <c r="GRR75" s="114"/>
      <c r="GRS75" s="115"/>
      <c r="GRT75" s="18"/>
      <c r="GRU75" s="52"/>
      <c r="GRV75" s="53"/>
      <c r="GRW75" s="54"/>
      <c r="GRX75" s="11"/>
      <c r="GRY75" s="14"/>
      <c r="GRZ75" s="113"/>
      <c r="GSA75" s="114"/>
      <c r="GSB75" s="115"/>
      <c r="GSC75" s="18"/>
      <c r="GSD75" s="52"/>
      <c r="GSE75" s="53"/>
      <c r="GSF75" s="54"/>
      <c r="GSG75" s="11"/>
      <c r="GSH75" s="14"/>
      <c r="GSI75" s="113"/>
      <c r="GSJ75" s="114"/>
      <c r="GSK75" s="115"/>
      <c r="GSL75" s="18"/>
      <c r="GSM75" s="52"/>
      <c r="GSN75" s="53"/>
      <c r="GSO75" s="54"/>
      <c r="GSP75" s="11"/>
      <c r="GSQ75" s="14"/>
      <c r="GSR75" s="113"/>
      <c r="GSS75" s="114"/>
      <c r="GST75" s="115"/>
      <c r="GSU75" s="18"/>
      <c r="GSV75" s="52"/>
      <c r="GSW75" s="53"/>
      <c r="GSX75" s="54"/>
      <c r="GSY75" s="11"/>
      <c r="GSZ75" s="14"/>
      <c r="GTA75" s="113"/>
      <c r="GTB75" s="114"/>
      <c r="GTC75" s="115"/>
      <c r="GTD75" s="18"/>
      <c r="GTE75" s="52"/>
      <c r="GTF75" s="53"/>
      <c r="GTG75" s="54"/>
      <c r="GTH75" s="11"/>
      <c r="GTI75" s="14"/>
      <c r="GTJ75" s="113"/>
      <c r="GTK75" s="114"/>
      <c r="GTL75" s="115"/>
      <c r="GTM75" s="18"/>
      <c r="GTN75" s="52"/>
      <c r="GTO75" s="53"/>
      <c r="GTP75" s="54"/>
      <c r="GTQ75" s="11"/>
      <c r="GTR75" s="14"/>
      <c r="GTS75" s="113"/>
      <c r="GTT75" s="114"/>
      <c r="GTU75" s="115"/>
      <c r="GTV75" s="18"/>
      <c r="GTW75" s="52"/>
      <c r="GTX75" s="53"/>
      <c r="GTY75" s="54"/>
      <c r="GTZ75" s="11"/>
      <c r="GUA75" s="14"/>
      <c r="GUB75" s="113"/>
      <c r="GUC75" s="114"/>
      <c r="GUD75" s="115"/>
      <c r="GUE75" s="18"/>
      <c r="GUF75" s="52"/>
      <c r="GUG75" s="53"/>
      <c r="GUH75" s="54"/>
      <c r="GUI75" s="11"/>
      <c r="GUJ75" s="14"/>
      <c r="GUK75" s="113"/>
      <c r="GUL75" s="114"/>
      <c r="GUM75" s="115"/>
      <c r="GUN75" s="18"/>
      <c r="GUO75" s="52"/>
      <c r="GUP75" s="53"/>
      <c r="GUQ75" s="54"/>
      <c r="GUR75" s="11"/>
      <c r="GUS75" s="14"/>
      <c r="GUT75" s="113"/>
      <c r="GUU75" s="114"/>
      <c r="GUV75" s="115"/>
      <c r="GUW75" s="18"/>
      <c r="GUX75" s="52"/>
      <c r="GUY75" s="53"/>
      <c r="GUZ75" s="54"/>
      <c r="GVA75" s="11"/>
      <c r="GVB75" s="14"/>
      <c r="GVC75" s="113"/>
      <c r="GVD75" s="114"/>
      <c r="GVE75" s="115"/>
      <c r="GVF75" s="18"/>
      <c r="GVG75" s="52"/>
      <c r="GVH75" s="53"/>
      <c r="GVI75" s="54"/>
      <c r="GVJ75" s="11"/>
      <c r="GVK75" s="14"/>
      <c r="GVL75" s="113"/>
      <c r="GVM75" s="114"/>
      <c r="GVN75" s="115"/>
      <c r="GVO75" s="18"/>
      <c r="GVP75" s="52"/>
      <c r="GVQ75" s="53"/>
      <c r="GVR75" s="54"/>
      <c r="GVS75" s="11"/>
      <c r="GVT75" s="14"/>
      <c r="GVU75" s="113"/>
      <c r="GVV75" s="114"/>
      <c r="GVW75" s="115"/>
      <c r="GVX75" s="18"/>
      <c r="GVY75" s="52"/>
      <c r="GVZ75" s="53"/>
      <c r="GWA75" s="54"/>
      <c r="GWB75" s="11"/>
      <c r="GWC75" s="14"/>
      <c r="GWD75" s="113"/>
      <c r="GWE75" s="114"/>
      <c r="GWF75" s="115"/>
      <c r="GWG75" s="18"/>
      <c r="GWH75" s="52"/>
      <c r="GWI75" s="53"/>
      <c r="GWJ75" s="54"/>
      <c r="GWK75" s="11"/>
      <c r="GWL75" s="14"/>
      <c r="GWM75" s="113"/>
      <c r="GWN75" s="114"/>
      <c r="GWO75" s="115"/>
      <c r="GWP75" s="18"/>
      <c r="GWQ75" s="52"/>
      <c r="GWR75" s="53"/>
      <c r="GWS75" s="54"/>
      <c r="GWT75" s="11"/>
      <c r="GWU75" s="14"/>
      <c r="GWV75" s="113"/>
      <c r="GWW75" s="114"/>
      <c r="GWX75" s="115"/>
      <c r="GWY75" s="18"/>
      <c r="GWZ75" s="52"/>
      <c r="GXA75" s="53"/>
      <c r="GXB75" s="54"/>
      <c r="GXC75" s="11"/>
      <c r="GXD75" s="14"/>
      <c r="GXE75" s="113"/>
      <c r="GXF75" s="114"/>
      <c r="GXG75" s="115"/>
      <c r="GXH75" s="18"/>
      <c r="GXI75" s="52"/>
      <c r="GXJ75" s="53"/>
      <c r="GXK75" s="54"/>
      <c r="GXL75" s="11"/>
      <c r="GXM75" s="14"/>
      <c r="GXN75" s="113"/>
      <c r="GXO75" s="114"/>
      <c r="GXP75" s="115"/>
      <c r="GXQ75" s="18"/>
      <c r="GXR75" s="52"/>
      <c r="GXS75" s="53"/>
      <c r="GXT75" s="54"/>
      <c r="GXU75" s="11"/>
      <c r="GXV75" s="14"/>
      <c r="GXW75" s="113"/>
      <c r="GXX75" s="114"/>
      <c r="GXY75" s="115"/>
      <c r="GXZ75" s="18"/>
      <c r="GYA75" s="52"/>
      <c r="GYB75" s="53"/>
      <c r="GYC75" s="54"/>
      <c r="GYD75" s="11"/>
      <c r="GYE75" s="14"/>
      <c r="GYF75" s="113"/>
      <c r="GYG75" s="114"/>
      <c r="GYH75" s="115"/>
      <c r="GYI75" s="18"/>
      <c r="GYJ75" s="52"/>
      <c r="GYK75" s="53"/>
      <c r="GYL75" s="54"/>
      <c r="GYM75" s="11"/>
      <c r="GYN75" s="14"/>
      <c r="GYO75" s="113"/>
      <c r="GYP75" s="114"/>
      <c r="GYQ75" s="115"/>
      <c r="GYR75" s="18"/>
      <c r="GYS75" s="52"/>
      <c r="GYT75" s="53"/>
      <c r="GYU75" s="54"/>
      <c r="GYV75" s="11"/>
      <c r="GYW75" s="14"/>
      <c r="GYX75" s="113"/>
      <c r="GYY75" s="114"/>
      <c r="GYZ75" s="115"/>
      <c r="GZA75" s="18"/>
      <c r="GZB75" s="52"/>
      <c r="GZC75" s="53"/>
      <c r="GZD75" s="54"/>
      <c r="GZE75" s="11"/>
      <c r="GZF75" s="14"/>
      <c r="GZG75" s="113"/>
      <c r="GZH75" s="114"/>
      <c r="GZI75" s="115"/>
      <c r="GZJ75" s="18"/>
      <c r="GZK75" s="52"/>
      <c r="GZL75" s="53"/>
      <c r="GZM75" s="54"/>
      <c r="GZN75" s="11"/>
      <c r="GZO75" s="14"/>
      <c r="GZP75" s="113"/>
      <c r="GZQ75" s="114"/>
      <c r="GZR75" s="115"/>
      <c r="GZS75" s="18"/>
      <c r="GZT75" s="52"/>
      <c r="GZU75" s="53"/>
      <c r="GZV75" s="54"/>
      <c r="GZW75" s="11"/>
      <c r="GZX75" s="14"/>
      <c r="GZY75" s="113"/>
      <c r="GZZ75" s="114"/>
      <c r="HAA75" s="115"/>
      <c r="HAB75" s="18"/>
      <c r="HAC75" s="52"/>
      <c r="HAD75" s="53"/>
      <c r="HAE75" s="54"/>
      <c r="HAF75" s="11"/>
      <c r="HAG75" s="14"/>
      <c r="HAH75" s="113"/>
      <c r="HAI75" s="114"/>
      <c r="HAJ75" s="115"/>
      <c r="HAK75" s="18"/>
      <c r="HAL75" s="52"/>
      <c r="HAM75" s="53"/>
      <c r="HAN75" s="54"/>
      <c r="HAO75" s="11"/>
      <c r="HAP75" s="14"/>
      <c r="HAQ75" s="113"/>
      <c r="HAR75" s="114"/>
      <c r="HAS75" s="115"/>
      <c r="HAT75" s="18"/>
      <c r="HAU75" s="52"/>
      <c r="HAV75" s="53"/>
      <c r="HAW75" s="54"/>
      <c r="HAX75" s="11"/>
      <c r="HAY75" s="14"/>
      <c r="HAZ75" s="113"/>
      <c r="HBA75" s="114"/>
      <c r="HBB75" s="115"/>
      <c r="HBC75" s="18"/>
      <c r="HBD75" s="52"/>
      <c r="HBE75" s="53"/>
      <c r="HBF75" s="54"/>
      <c r="HBG75" s="11"/>
      <c r="HBH75" s="14"/>
      <c r="HBI75" s="113"/>
      <c r="HBJ75" s="114"/>
      <c r="HBK75" s="115"/>
      <c r="HBL75" s="18"/>
      <c r="HBM75" s="52"/>
      <c r="HBN75" s="53"/>
      <c r="HBO75" s="54"/>
      <c r="HBP75" s="11"/>
      <c r="HBQ75" s="14"/>
      <c r="HBR75" s="113"/>
      <c r="HBS75" s="114"/>
      <c r="HBT75" s="115"/>
      <c r="HBU75" s="18"/>
      <c r="HBV75" s="52"/>
      <c r="HBW75" s="53"/>
      <c r="HBX75" s="54"/>
      <c r="HBY75" s="11"/>
      <c r="HBZ75" s="14"/>
      <c r="HCA75" s="113"/>
      <c r="HCB75" s="114"/>
      <c r="HCC75" s="115"/>
      <c r="HCD75" s="18"/>
      <c r="HCE75" s="52"/>
      <c r="HCF75" s="53"/>
      <c r="HCG75" s="54"/>
      <c r="HCH75" s="11"/>
      <c r="HCI75" s="14"/>
      <c r="HCJ75" s="113"/>
      <c r="HCK75" s="114"/>
      <c r="HCL75" s="115"/>
      <c r="HCM75" s="18"/>
      <c r="HCN75" s="52"/>
      <c r="HCO75" s="53"/>
      <c r="HCP75" s="54"/>
      <c r="HCQ75" s="11"/>
      <c r="HCR75" s="14"/>
      <c r="HCS75" s="113"/>
      <c r="HCT75" s="114"/>
      <c r="HCU75" s="115"/>
      <c r="HCV75" s="18"/>
      <c r="HCW75" s="52"/>
      <c r="HCX75" s="53"/>
      <c r="HCY75" s="54"/>
      <c r="HCZ75" s="11"/>
      <c r="HDA75" s="14"/>
      <c r="HDB75" s="113"/>
      <c r="HDC75" s="114"/>
      <c r="HDD75" s="115"/>
      <c r="HDE75" s="18"/>
      <c r="HDF75" s="52"/>
      <c r="HDG75" s="53"/>
      <c r="HDH75" s="54"/>
      <c r="HDI75" s="11"/>
      <c r="HDJ75" s="14"/>
      <c r="HDK75" s="113"/>
      <c r="HDL75" s="114"/>
      <c r="HDM75" s="115"/>
      <c r="HDN75" s="18"/>
      <c r="HDO75" s="52"/>
      <c r="HDP75" s="53"/>
      <c r="HDQ75" s="54"/>
      <c r="HDR75" s="11"/>
      <c r="HDS75" s="14"/>
      <c r="HDT75" s="113"/>
      <c r="HDU75" s="114"/>
      <c r="HDV75" s="115"/>
      <c r="HDW75" s="18"/>
      <c r="HDX75" s="52"/>
      <c r="HDY75" s="53"/>
      <c r="HDZ75" s="54"/>
      <c r="HEA75" s="11"/>
      <c r="HEB75" s="14"/>
      <c r="HEC75" s="113"/>
      <c r="HED75" s="114"/>
      <c r="HEE75" s="115"/>
      <c r="HEF75" s="18"/>
      <c r="HEG75" s="52"/>
      <c r="HEH75" s="53"/>
      <c r="HEI75" s="54"/>
      <c r="HEJ75" s="11"/>
      <c r="HEK75" s="14"/>
      <c r="HEL75" s="113"/>
      <c r="HEM75" s="114"/>
      <c r="HEN75" s="115"/>
      <c r="HEO75" s="18"/>
      <c r="HEP75" s="52"/>
      <c r="HEQ75" s="53"/>
      <c r="HER75" s="54"/>
      <c r="HES75" s="11"/>
      <c r="HET75" s="14"/>
      <c r="HEU75" s="113"/>
      <c r="HEV75" s="114"/>
      <c r="HEW75" s="115"/>
      <c r="HEX75" s="18"/>
      <c r="HEY75" s="52"/>
      <c r="HEZ75" s="53"/>
      <c r="HFA75" s="54"/>
      <c r="HFB75" s="11"/>
      <c r="HFC75" s="14"/>
      <c r="HFD75" s="113"/>
      <c r="HFE75" s="114"/>
      <c r="HFF75" s="115"/>
      <c r="HFG75" s="18"/>
      <c r="HFH75" s="52"/>
      <c r="HFI75" s="53"/>
      <c r="HFJ75" s="54"/>
      <c r="HFK75" s="11"/>
      <c r="HFL75" s="14"/>
      <c r="HFM75" s="113"/>
      <c r="HFN75" s="114"/>
      <c r="HFO75" s="115"/>
      <c r="HFP75" s="18"/>
      <c r="HFQ75" s="52"/>
      <c r="HFR75" s="53"/>
      <c r="HFS75" s="54"/>
      <c r="HFT75" s="11"/>
      <c r="HFU75" s="14"/>
      <c r="HFV75" s="113"/>
      <c r="HFW75" s="114"/>
      <c r="HFX75" s="115"/>
      <c r="HFY75" s="18"/>
      <c r="HFZ75" s="52"/>
      <c r="HGA75" s="53"/>
      <c r="HGB75" s="54"/>
      <c r="HGC75" s="11"/>
      <c r="HGD75" s="14"/>
      <c r="HGE75" s="113"/>
      <c r="HGF75" s="114"/>
      <c r="HGG75" s="115"/>
      <c r="HGH75" s="18"/>
      <c r="HGI75" s="52"/>
      <c r="HGJ75" s="53"/>
      <c r="HGK75" s="54"/>
      <c r="HGL75" s="11"/>
      <c r="HGM75" s="14"/>
      <c r="HGN75" s="113"/>
      <c r="HGO75" s="114"/>
      <c r="HGP75" s="115"/>
      <c r="HGQ75" s="18"/>
      <c r="HGR75" s="52"/>
      <c r="HGS75" s="53"/>
      <c r="HGT75" s="54"/>
      <c r="HGU75" s="11"/>
      <c r="HGV75" s="14"/>
      <c r="HGW75" s="113"/>
      <c r="HGX75" s="114"/>
      <c r="HGY75" s="115"/>
      <c r="HGZ75" s="18"/>
      <c r="HHA75" s="52"/>
      <c r="HHB75" s="53"/>
      <c r="HHC75" s="54"/>
      <c r="HHD75" s="11"/>
      <c r="HHE75" s="14"/>
      <c r="HHF75" s="113"/>
      <c r="HHG75" s="114"/>
      <c r="HHH75" s="115"/>
      <c r="HHI75" s="18"/>
      <c r="HHJ75" s="52"/>
      <c r="HHK75" s="53"/>
      <c r="HHL75" s="54"/>
      <c r="HHM75" s="11"/>
      <c r="HHN75" s="14"/>
      <c r="HHO75" s="113"/>
      <c r="HHP75" s="114"/>
      <c r="HHQ75" s="115"/>
      <c r="HHR75" s="18"/>
      <c r="HHS75" s="52"/>
      <c r="HHT75" s="53"/>
      <c r="HHU75" s="54"/>
      <c r="HHV75" s="11"/>
      <c r="HHW75" s="14"/>
      <c r="HHX75" s="113"/>
      <c r="HHY75" s="114"/>
      <c r="HHZ75" s="115"/>
      <c r="HIA75" s="18"/>
      <c r="HIB75" s="52"/>
      <c r="HIC75" s="53"/>
      <c r="HID75" s="54"/>
      <c r="HIE75" s="11"/>
      <c r="HIF75" s="14"/>
      <c r="HIG75" s="113"/>
      <c r="HIH75" s="114"/>
      <c r="HII75" s="115"/>
      <c r="HIJ75" s="18"/>
      <c r="HIK75" s="52"/>
      <c r="HIL75" s="53"/>
      <c r="HIM75" s="54"/>
      <c r="HIN75" s="11"/>
      <c r="HIO75" s="14"/>
      <c r="HIP75" s="113"/>
      <c r="HIQ75" s="114"/>
      <c r="HIR75" s="115"/>
      <c r="HIS75" s="18"/>
      <c r="HIT75" s="52"/>
      <c r="HIU75" s="53"/>
      <c r="HIV75" s="54"/>
      <c r="HIW75" s="11"/>
      <c r="HIX75" s="14"/>
      <c r="HIY75" s="113"/>
      <c r="HIZ75" s="114"/>
      <c r="HJA75" s="115"/>
      <c r="HJB75" s="18"/>
      <c r="HJC75" s="52"/>
      <c r="HJD75" s="53"/>
      <c r="HJE75" s="54"/>
      <c r="HJF75" s="11"/>
      <c r="HJG75" s="14"/>
      <c r="HJH75" s="113"/>
      <c r="HJI75" s="114"/>
      <c r="HJJ75" s="115"/>
      <c r="HJK75" s="18"/>
      <c r="HJL75" s="52"/>
      <c r="HJM75" s="53"/>
      <c r="HJN75" s="54"/>
      <c r="HJO75" s="11"/>
      <c r="HJP75" s="14"/>
      <c r="HJQ75" s="113"/>
      <c r="HJR75" s="114"/>
      <c r="HJS75" s="115"/>
      <c r="HJT75" s="18"/>
      <c r="HJU75" s="52"/>
      <c r="HJV75" s="53"/>
      <c r="HJW75" s="54"/>
      <c r="HJX75" s="11"/>
      <c r="HJY75" s="14"/>
      <c r="HJZ75" s="113"/>
      <c r="HKA75" s="114"/>
      <c r="HKB75" s="115"/>
      <c r="HKC75" s="18"/>
      <c r="HKD75" s="52"/>
      <c r="HKE75" s="53"/>
      <c r="HKF75" s="54"/>
      <c r="HKG75" s="11"/>
      <c r="HKH75" s="14"/>
      <c r="HKI75" s="113"/>
      <c r="HKJ75" s="114"/>
      <c r="HKK75" s="115"/>
      <c r="HKL75" s="18"/>
      <c r="HKM75" s="52"/>
      <c r="HKN75" s="53"/>
      <c r="HKO75" s="54"/>
      <c r="HKP75" s="11"/>
      <c r="HKQ75" s="14"/>
      <c r="HKR75" s="113"/>
      <c r="HKS75" s="114"/>
      <c r="HKT75" s="115"/>
      <c r="HKU75" s="18"/>
      <c r="HKV75" s="52"/>
      <c r="HKW75" s="53"/>
      <c r="HKX75" s="54"/>
      <c r="HKY75" s="11"/>
      <c r="HKZ75" s="14"/>
      <c r="HLA75" s="113"/>
      <c r="HLB75" s="114"/>
      <c r="HLC75" s="115"/>
      <c r="HLD75" s="18"/>
      <c r="HLE75" s="52"/>
      <c r="HLF75" s="53"/>
      <c r="HLG75" s="54"/>
      <c r="HLH75" s="11"/>
      <c r="HLI75" s="14"/>
      <c r="HLJ75" s="113"/>
      <c r="HLK75" s="114"/>
      <c r="HLL75" s="115"/>
      <c r="HLM75" s="18"/>
      <c r="HLN75" s="52"/>
      <c r="HLO75" s="53"/>
      <c r="HLP75" s="54"/>
      <c r="HLQ75" s="11"/>
      <c r="HLR75" s="14"/>
      <c r="HLS75" s="113"/>
      <c r="HLT75" s="114"/>
      <c r="HLU75" s="115"/>
      <c r="HLV75" s="18"/>
      <c r="HLW75" s="52"/>
      <c r="HLX75" s="53"/>
      <c r="HLY75" s="54"/>
      <c r="HLZ75" s="11"/>
      <c r="HMA75" s="14"/>
      <c r="HMB75" s="113"/>
      <c r="HMC75" s="114"/>
      <c r="HMD75" s="115"/>
      <c r="HME75" s="18"/>
      <c r="HMF75" s="52"/>
      <c r="HMG75" s="53"/>
      <c r="HMH75" s="54"/>
      <c r="HMI75" s="11"/>
      <c r="HMJ75" s="14"/>
      <c r="HMK75" s="113"/>
      <c r="HML75" s="114"/>
      <c r="HMM75" s="115"/>
      <c r="HMN75" s="18"/>
      <c r="HMO75" s="52"/>
      <c r="HMP75" s="53"/>
      <c r="HMQ75" s="54"/>
      <c r="HMR75" s="11"/>
      <c r="HMS75" s="14"/>
      <c r="HMT75" s="113"/>
      <c r="HMU75" s="114"/>
      <c r="HMV75" s="115"/>
      <c r="HMW75" s="18"/>
      <c r="HMX75" s="52"/>
      <c r="HMY75" s="53"/>
      <c r="HMZ75" s="54"/>
      <c r="HNA75" s="11"/>
      <c r="HNB75" s="14"/>
      <c r="HNC75" s="113"/>
      <c r="HND75" s="114"/>
      <c r="HNE75" s="115"/>
      <c r="HNF75" s="18"/>
      <c r="HNG75" s="52"/>
      <c r="HNH75" s="53"/>
      <c r="HNI75" s="54"/>
      <c r="HNJ75" s="11"/>
      <c r="HNK75" s="14"/>
      <c r="HNL75" s="113"/>
      <c r="HNM75" s="114"/>
      <c r="HNN75" s="115"/>
      <c r="HNO75" s="18"/>
      <c r="HNP75" s="52"/>
      <c r="HNQ75" s="53"/>
      <c r="HNR75" s="54"/>
      <c r="HNS75" s="11"/>
      <c r="HNT75" s="14"/>
      <c r="HNU75" s="113"/>
      <c r="HNV75" s="114"/>
      <c r="HNW75" s="115"/>
      <c r="HNX75" s="18"/>
      <c r="HNY75" s="52"/>
      <c r="HNZ75" s="53"/>
      <c r="HOA75" s="54"/>
      <c r="HOB75" s="11"/>
      <c r="HOC75" s="14"/>
      <c r="HOD75" s="113"/>
      <c r="HOE75" s="114"/>
      <c r="HOF75" s="115"/>
      <c r="HOG75" s="18"/>
      <c r="HOH75" s="52"/>
      <c r="HOI75" s="53"/>
      <c r="HOJ75" s="54"/>
      <c r="HOK75" s="11"/>
      <c r="HOL75" s="14"/>
      <c r="HOM75" s="113"/>
      <c r="HON75" s="114"/>
      <c r="HOO75" s="115"/>
      <c r="HOP75" s="18"/>
      <c r="HOQ75" s="52"/>
      <c r="HOR75" s="53"/>
      <c r="HOS75" s="54"/>
      <c r="HOT75" s="11"/>
      <c r="HOU75" s="14"/>
      <c r="HOV75" s="113"/>
      <c r="HOW75" s="114"/>
      <c r="HOX75" s="115"/>
      <c r="HOY75" s="18"/>
      <c r="HOZ75" s="52"/>
      <c r="HPA75" s="53"/>
      <c r="HPB75" s="54"/>
      <c r="HPC75" s="11"/>
      <c r="HPD75" s="14"/>
      <c r="HPE75" s="113"/>
      <c r="HPF75" s="114"/>
      <c r="HPG75" s="115"/>
      <c r="HPH75" s="18"/>
      <c r="HPI75" s="52"/>
      <c r="HPJ75" s="53"/>
      <c r="HPK75" s="54"/>
      <c r="HPL75" s="11"/>
      <c r="HPM75" s="14"/>
      <c r="HPN75" s="113"/>
      <c r="HPO75" s="114"/>
      <c r="HPP75" s="115"/>
      <c r="HPQ75" s="18"/>
      <c r="HPR75" s="52"/>
      <c r="HPS75" s="53"/>
      <c r="HPT75" s="54"/>
      <c r="HPU75" s="11"/>
      <c r="HPV75" s="14"/>
      <c r="HPW75" s="113"/>
      <c r="HPX75" s="114"/>
      <c r="HPY75" s="115"/>
      <c r="HPZ75" s="18"/>
      <c r="HQA75" s="52"/>
      <c r="HQB75" s="53"/>
      <c r="HQC75" s="54"/>
      <c r="HQD75" s="11"/>
      <c r="HQE75" s="14"/>
      <c r="HQF75" s="113"/>
      <c r="HQG75" s="114"/>
      <c r="HQH75" s="115"/>
      <c r="HQI75" s="18"/>
      <c r="HQJ75" s="52"/>
      <c r="HQK75" s="53"/>
      <c r="HQL75" s="54"/>
      <c r="HQM75" s="11"/>
      <c r="HQN75" s="14"/>
      <c r="HQO75" s="113"/>
      <c r="HQP75" s="114"/>
      <c r="HQQ75" s="115"/>
      <c r="HQR75" s="18"/>
      <c r="HQS75" s="52"/>
      <c r="HQT75" s="53"/>
      <c r="HQU75" s="54"/>
      <c r="HQV75" s="11"/>
      <c r="HQW75" s="14"/>
      <c r="HQX75" s="113"/>
      <c r="HQY75" s="114"/>
      <c r="HQZ75" s="115"/>
      <c r="HRA75" s="18"/>
      <c r="HRB75" s="52"/>
      <c r="HRC75" s="53"/>
      <c r="HRD75" s="54"/>
      <c r="HRE75" s="11"/>
      <c r="HRF75" s="14"/>
      <c r="HRG75" s="113"/>
      <c r="HRH75" s="114"/>
      <c r="HRI75" s="115"/>
      <c r="HRJ75" s="18"/>
      <c r="HRK75" s="52"/>
      <c r="HRL75" s="53"/>
      <c r="HRM75" s="54"/>
      <c r="HRN75" s="11"/>
      <c r="HRO75" s="14"/>
      <c r="HRP75" s="113"/>
      <c r="HRQ75" s="114"/>
      <c r="HRR75" s="115"/>
      <c r="HRS75" s="18"/>
      <c r="HRT75" s="52"/>
      <c r="HRU75" s="53"/>
      <c r="HRV75" s="54"/>
      <c r="HRW75" s="11"/>
      <c r="HRX75" s="14"/>
      <c r="HRY75" s="113"/>
      <c r="HRZ75" s="114"/>
      <c r="HSA75" s="115"/>
      <c r="HSB75" s="18"/>
      <c r="HSC75" s="52"/>
      <c r="HSD75" s="53"/>
      <c r="HSE75" s="54"/>
      <c r="HSF75" s="11"/>
      <c r="HSG75" s="14"/>
      <c r="HSH75" s="113"/>
      <c r="HSI75" s="114"/>
      <c r="HSJ75" s="115"/>
      <c r="HSK75" s="18"/>
      <c r="HSL75" s="52"/>
      <c r="HSM75" s="53"/>
      <c r="HSN75" s="54"/>
      <c r="HSO75" s="11"/>
      <c r="HSP75" s="14"/>
      <c r="HSQ75" s="113"/>
      <c r="HSR75" s="114"/>
      <c r="HSS75" s="115"/>
      <c r="HST75" s="18"/>
      <c r="HSU75" s="52"/>
      <c r="HSV75" s="53"/>
      <c r="HSW75" s="54"/>
      <c r="HSX75" s="11"/>
      <c r="HSY75" s="14"/>
      <c r="HSZ75" s="113"/>
      <c r="HTA75" s="114"/>
      <c r="HTB75" s="115"/>
      <c r="HTC75" s="18"/>
      <c r="HTD75" s="52"/>
      <c r="HTE75" s="53"/>
      <c r="HTF75" s="54"/>
      <c r="HTG75" s="11"/>
      <c r="HTH75" s="14"/>
      <c r="HTI75" s="113"/>
      <c r="HTJ75" s="114"/>
      <c r="HTK75" s="115"/>
      <c r="HTL75" s="18"/>
      <c r="HTM75" s="52"/>
      <c r="HTN75" s="53"/>
      <c r="HTO75" s="54"/>
      <c r="HTP75" s="11"/>
      <c r="HTQ75" s="14"/>
      <c r="HTR75" s="113"/>
      <c r="HTS75" s="114"/>
      <c r="HTT75" s="115"/>
      <c r="HTU75" s="18"/>
      <c r="HTV75" s="52"/>
      <c r="HTW75" s="53"/>
      <c r="HTX75" s="54"/>
      <c r="HTY75" s="11"/>
      <c r="HTZ75" s="14"/>
      <c r="HUA75" s="113"/>
      <c r="HUB75" s="114"/>
      <c r="HUC75" s="115"/>
      <c r="HUD75" s="18"/>
      <c r="HUE75" s="52"/>
      <c r="HUF75" s="53"/>
      <c r="HUG75" s="54"/>
      <c r="HUH75" s="11"/>
      <c r="HUI75" s="14"/>
      <c r="HUJ75" s="113"/>
      <c r="HUK75" s="114"/>
      <c r="HUL75" s="115"/>
      <c r="HUM75" s="18"/>
      <c r="HUN75" s="52"/>
      <c r="HUO75" s="53"/>
      <c r="HUP75" s="54"/>
      <c r="HUQ75" s="11"/>
      <c r="HUR75" s="14"/>
      <c r="HUS75" s="113"/>
      <c r="HUT75" s="114"/>
      <c r="HUU75" s="115"/>
      <c r="HUV75" s="18"/>
      <c r="HUW75" s="52"/>
      <c r="HUX75" s="53"/>
      <c r="HUY75" s="54"/>
      <c r="HUZ75" s="11"/>
      <c r="HVA75" s="14"/>
      <c r="HVB75" s="113"/>
      <c r="HVC75" s="114"/>
      <c r="HVD75" s="115"/>
      <c r="HVE75" s="18"/>
      <c r="HVF75" s="52"/>
      <c r="HVG75" s="53"/>
      <c r="HVH75" s="54"/>
      <c r="HVI75" s="11"/>
      <c r="HVJ75" s="14"/>
      <c r="HVK75" s="113"/>
      <c r="HVL75" s="114"/>
      <c r="HVM75" s="115"/>
      <c r="HVN75" s="18"/>
      <c r="HVO75" s="52"/>
      <c r="HVP75" s="53"/>
      <c r="HVQ75" s="54"/>
      <c r="HVR75" s="11"/>
      <c r="HVS75" s="14"/>
      <c r="HVT75" s="113"/>
      <c r="HVU75" s="114"/>
      <c r="HVV75" s="115"/>
      <c r="HVW75" s="18"/>
      <c r="HVX75" s="52"/>
      <c r="HVY75" s="53"/>
      <c r="HVZ75" s="54"/>
      <c r="HWA75" s="11"/>
      <c r="HWB75" s="14"/>
      <c r="HWC75" s="113"/>
      <c r="HWD75" s="114"/>
      <c r="HWE75" s="115"/>
      <c r="HWF75" s="18"/>
      <c r="HWG75" s="52"/>
      <c r="HWH75" s="53"/>
      <c r="HWI75" s="54"/>
      <c r="HWJ75" s="11"/>
      <c r="HWK75" s="14"/>
      <c r="HWL75" s="113"/>
      <c r="HWM75" s="114"/>
      <c r="HWN75" s="115"/>
      <c r="HWO75" s="18"/>
      <c r="HWP75" s="52"/>
      <c r="HWQ75" s="53"/>
      <c r="HWR75" s="54"/>
      <c r="HWS75" s="11"/>
      <c r="HWT75" s="14"/>
      <c r="HWU75" s="113"/>
      <c r="HWV75" s="114"/>
      <c r="HWW75" s="115"/>
      <c r="HWX75" s="18"/>
      <c r="HWY75" s="52"/>
      <c r="HWZ75" s="53"/>
      <c r="HXA75" s="54"/>
      <c r="HXB75" s="11"/>
      <c r="HXC75" s="14"/>
      <c r="HXD75" s="113"/>
      <c r="HXE75" s="114"/>
      <c r="HXF75" s="115"/>
      <c r="HXG75" s="18"/>
      <c r="HXH75" s="52"/>
      <c r="HXI75" s="53"/>
      <c r="HXJ75" s="54"/>
      <c r="HXK75" s="11"/>
      <c r="HXL75" s="14"/>
      <c r="HXM75" s="113"/>
      <c r="HXN75" s="114"/>
      <c r="HXO75" s="115"/>
      <c r="HXP75" s="18"/>
      <c r="HXQ75" s="52"/>
      <c r="HXR75" s="53"/>
      <c r="HXS75" s="54"/>
      <c r="HXT75" s="11"/>
      <c r="HXU75" s="14"/>
      <c r="HXV75" s="113"/>
      <c r="HXW75" s="114"/>
      <c r="HXX75" s="115"/>
      <c r="HXY75" s="18"/>
      <c r="HXZ75" s="52"/>
      <c r="HYA75" s="53"/>
      <c r="HYB75" s="54"/>
      <c r="HYC75" s="11"/>
      <c r="HYD75" s="14"/>
      <c r="HYE75" s="113"/>
      <c r="HYF75" s="114"/>
      <c r="HYG75" s="115"/>
      <c r="HYH75" s="18"/>
      <c r="HYI75" s="52"/>
      <c r="HYJ75" s="53"/>
      <c r="HYK75" s="54"/>
      <c r="HYL75" s="11"/>
      <c r="HYM75" s="14"/>
      <c r="HYN75" s="113"/>
      <c r="HYO75" s="114"/>
      <c r="HYP75" s="115"/>
      <c r="HYQ75" s="18"/>
      <c r="HYR75" s="52"/>
      <c r="HYS75" s="53"/>
      <c r="HYT75" s="54"/>
      <c r="HYU75" s="11"/>
      <c r="HYV75" s="14"/>
      <c r="HYW75" s="113"/>
      <c r="HYX75" s="114"/>
      <c r="HYY75" s="115"/>
      <c r="HYZ75" s="18"/>
      <c r="HZA75" s="52"/>
      <c r="HZB75" s="53"/>
      <c r="HZC75" s="54"/>
      <c r="HZD75" s="11"/>
      <c r="HZE75" s="14"/>
      <c r="HZF75" s="113"/>
      <c r="HZG75" s="114"/>
      <c r="HZH75" s="115"/>
      <c r="HZI75" s="18"/>
      <c r="HZJ75" s="52"/>
      <c r="HZK75" s="53"/>
      <c r="HZL75" s="54"/>
      <c r="HZM75" s="11"/>
      <c r="HZN75" s="14"/>
      <c r="HZO75" s="113"/>
      <c r="HZP75" s="114"/>
      <c r="HZQ75" s="115"/>
      <c r="HZR75" s="18"/>
      <c r="HZS75" s="52"/>
      <c r="HZT75" s="53"/>
      <c r="HZU75" s="54"/>
      <c r="HZV75" s="11"/>
      <c r="HZW75" s="14"/>
      <c r="HZX75" s="113"/>
      <c r="HZY75" s="114"/>
      <c r="HZZ75" s="115"/>
      <c r="IAA75" s="18"/>
      <c r="IAB75" s="52"/>
      <c r="IAC75" s="53"/>
      <c r="IAD75" s="54"/>
      <c r="IAE75" s="11"/>
      <c r="IAF75" s="14"/>
      <c r="IAG75" s="113"/>
      <c r="IAH75" s="114"/>
      <c r="IAI75" s="115"/>
      <c r="IAJ75" s="18"/>
      <c r="IAK75" s="52"/>
      <c r="IAL75" s="53"/>
      <c r="IAM75" s="54"/>
      <c r="IAN75" s="11"/>
      <c r="IAO75" s="14"/>
      <c r="IAP75" s="113"/>
      <c r="IAQ75" s="114"/>
      <c r="IAR75" s="115"/>
      <c r="IAS75" s="18"/>
      <c r="IAT75" s="52"/>
      <c r="IAU75" s="53"/>
      <c r="IAV75" s="54"/>
      <c r="IAW75" s="11"/>
      <c r="IAX75" s="14"/>
      <c r="IAY75" s="113"/>
      <c r="IAZ75" s="114"/>
      <c r="IBA75" s="115"/>
      <c r="IBB75" s="18"/>
      <c r="IBC75" s="52"/>
      <c r="IBD75" s="53"/>
      <c r="IBE75" s="54"/>
      <c r="IBF75" s="11"/>
      <c r="IBG75" s="14"/>
      <c r="IBH75" s="113"/>
      <c r="IBI75" s="114"/>
      <c r="IBJ75" s="115"/>
      <c r="IBK75" s="18"/>
      <c r="IBL75" s="52"/>
      <c r="IBM75" s="53"/>
      <c r="IBN75" s="54"/>
      <c r="IBO75" s="11"/>
      <c r="IBP75" s="14"/>
      <c r="IBQ75" s="113"/>
      <c r="IBR75" s="114"/>
      <c r="IBS75" s="115"/>
      <c r="IBT75" s="18"/>
      <c r="IBU75" s="52"/>
      <c r="IBV75" s="53"/>
      <c r="IBW75" s="54"/>
      <c r="IBX75" s="11"/>
      <c r="IBY75" s="14"/>
      <c r="IBZ75" s="113"/>
      <c r="ICA75" s="114"/>
      <c r="ICB75" s="115"/>
      <c r="ICC75" s="18"/>
      <c r="ICD75" s="52"/>
      <c r="ICE75" s="53"/>
      <c r="ICF75" s="54"/>
      <c r="ICG75" s="11"/>
      <c r="ICH75" s="14"/>
      <c r="ICI75" s="113"/>
      <c r="ICJ75" s="114"/>
      <c r="ICK75" s="115"/>
      <c r="ICL75" s="18"/>
      <c r="ICM75" s="52"/>
      <c r="ICN75" s="53"/>
      <c r="ICO75" s="54"/>
      <c r="ICP75" s="11"/>
      <c r="ICQ75" s="14"/>
      <c r="ICR75" s="113"/>
      <c r="ICS75" s="114"/>
      <c r="ICT75" s="115"/>
      <c r="ICU75" s="18"/>
      <c r="ICV75" s="52"/>
      <c r="ICW75" s="53"/>
      <c r="ICX75" s="54"/>
      <c r="ICY75" s="11"/>
      <c r="ICZ75" s="14"/>
      <c r="IDA75" s="113"/>
      <c r="IDB75" s="114"/>
      <c r="IDC75" s="115"/>
      <c r="IDD75" s="18"/>
      <c r="IDE75" s="52"/>
      <c r="IDF75" s="53"/>
      <c r="IDG75" s="54"/>
      <c r="IDH75" s="11"/>
      <c r="IDI75" s="14"/>
      <c r="IDJ75" s="113"/>
      <c r="IDK75" s="114"/>
      <c r="IDL75" s="115"/>
      <c r="IDM75" s="18"/>
      <c r="IDN75" s="52"/>
      <c r="IDO75" s="53"/>
      <c r="IDP75" s="54"/>
      <c r="IDQ75" s="11"/>
      <c r="IDR75" s="14"/>
      <c r="IDS75" s="113"/>
      <c r="IDT75" s="114"/>
      <c r="IDU75" s="115"/>
      <c r="IDV75" s="18"/>
      <c r="IDW75" s="52"/>
      <c r="IDX75" s="53"/>
      <c r="IDY75" s="54"/>
      <c r="IDZ75" s="11"/>
      <c r="IEA75" s="14"/>
      <c r="IEB75" s="113"/>
      <c r="IEC75" s="114"/>
      <c r="IED75" s="115"/>
      <c r="IEE75" s="18"/>
      <c r="IEF75" s="52"/>
      <c r="IEG75" s="53"/>
      <c r="IEH75" s="54"/>
      <c r="IEI75" s="11"/>
      <c r="IEJ75" s="14"/>
      <c r="IEK75" s="113"/>
      <c r="IEL75" s="114"/>
      <c r="IEM75" s="115"/>
      <c r="IEN75" s="18"/>
      <c r="IEO75" s="52"/>
      <c r="IEP75" s="53"/>
      <c r="IEQ75" s="54"/>
      <c r="IER75" s="11"/>
      <c r="IES75" s="14"/>
      <c r="IET75" s="113"/>
      <c r="IEU75" s="114"/>
      <c r="IEV75" s="115"/>
      <c r="IEW75" s="18"/>
      <c r="IEX75" s="52"/>
      <c r="IEY75" s="53"/>
      <c r="IEZ75" s="54"/>
      <c r="IFA75" s="11"/>
      <c r="IFB75" s="14"/>
      <c r="IFC75" s="113"/>
      <c r="IFD75" s="114"/>
      <c r="IFE75" s="115"/>
      <c r="IFF75" s="18"/>
      <c r="IFG75" s="52"/>
      <c r="IFH75" s="53"/>
      <c r="IFI75" s="54"/>
      <c r="IFJ75" s="11"/>
      <c r="IFK75" s="14"/>
      <c r="IFL75" s="113"/>
      <c r="IFM75" s="114"/>
      <c r="IFN75" s="115"/>
      <c r="IFO75" s="18"/>
      <c r="IFP75" s="52"/>
      <c r="IFQ75" s="53"/>
      <c r="IFR75" s="54"/>
      <c r="IFS75" s="11"/>
      <c r="IFT75" s="14"/>
      <c r="IFU75" s="113"/>
      <c r="IFV75" s="114"/>
      <c r="IFW75" s="115"/>
      <c r="IFX75" s="18"/>
      <c r="IFY75" s="52"/>
      <c r="IFZ75" s="53"/>
      <c r="IGA75" s="54"/>
      <c r="IGB75" s="11"/>
      <c r="IGC75" s="14"/>
      <c r="IGD75" s="113"/>
      <c r="IGE75" s="114"/>
      <c r="IGF75" s="115"/>
      <c r="IGG75" s="18"/>
      <c r="IGH75" s="52"/>
      <c r="IGI75" s="53"/>
      <c r="IGJ75" s="54"/>
      <c r="IGK75" s="11"/>
      <c r="IGL75" s="14"/>
      <c r="IGM75" s="113"/>
      <c r="IGN75" s="114"/>
      <c r="IGO75" s="115"/>
      <c r="IGP75" s="18"/>
      <c r="IGQ75" s="52"/>
      <c r="IGR75" s="53"/>
      <c r="IGS75" s="54"/>
      <c r="IGT75" s="11"/>
      <c r="IGU75" s="14"/>
      <c r="IGV75" s="113"/>
      <c r="IGW75" s="114"/>
      <c r="IGX75" s="115"/>
      <c r="IGY75" s="18"/>
      <c r="IGZ75" s="52"/>
      <c r="IHA75" s="53"/>
      <c r="IHB75" s="54"/>
      <c r="IHC75" s="11"/>
      <c r="IHD75" s="14"/>
      <c r="IHE75" s="113"/>
      <c r="IHF75" s="114"/>
      <c r="IHG75" s="115"/>
      <c r="IHH75" s="18"/>
      <c r="IHI75" s="52"/>
      <c r="IHJ75" s="53"/>
      <c r="IHK75" s="54"/>
      <c r="IHL75" s="11"/>
      <c r="IHM75" s="14"/>
      <c r="IHN75" s="113"/>
      <c r="IHO75" s="114"/>
      <c r="IHP75" s="115"/>
      <c r="IHQ75" s="18"/>
      <c r="IHR75" s="52"/>
      <c r="IHS75" s="53"/>
      <c r="IHT75" s="54"/>
      <c r="IHU75" s="11"/>
      <c r="IHV75" s="14"/>
      <c r="IHW75" s="113"/>
      <c r="IHX75" s="114"/>
      <c r="IHY75" s="115"/>
      <c r="IHZ75" s="18"/>
      <c r="IIA75" s="52"/>
      <c r="IIB75" s="53"/>
      <c r="IIC75" s="54"/>
      <c r="IID75" s="11"/>
      <c r="IIE75" s="14"/>
      <c r="IIF75" s="113"/>
      <c r="IIG75" s="114"/>
      <c r="IIH75" s="115"/>
      <c r="III75" s="18"/>
      <c r="IIJ75" s="52"/>
      <c r="IIK75" s="53"/>
      <c r="IIL75" s="54"/>
      <c r="IIM75" s="11"/>
      <c r="IIN75" s="14"/>
      <c r="IIO75" s="113"/>
      <c r="IIP75" s="114"/>
      <c r="IIQ75" s="115"/>
      <c r="IIR75" s="18"/>
      <c r="IIS75" s="52"/>
      <c r="IIT75" s="53"/>
      <c r="IIU75" s="54"/>
      <c r="IIV75" s="11"/>
      <c r="IIW75" s="14"/>
      <c r="IIX75" s="113"/>
      <c r="IIY75" s="114"/>
      <c r="IIZ75" s="115"/>
      <c r="IJA75" s="18"/>
      <c r="IJB75" s="52"/>
      <c r="IJC75" s="53"/>
      <c r="IJD75" s="54"/>
      <c r="IJE75" s="11"/>
      <c r="IJF75" s="14"/>
      <c r="IJG75" s="113"/>
      <c r="IJH75" s="114"/>
      <c r="IJI75" s="115"/>
      <c r="IJJ75" s="18"/>
      <c r="IJK75" s="52"/>
      <c r="IJL75" s="53"/>
      <c r="IJM75" s="54"/>
      <c r="IJN75" s="11"/>
      <c r="IJO75" s="14"/>
      <c r="IJP75" s="113"/>
      <c r="IJQ75" s="114"/>
      <c r="IJR75" s="115"/>
      <c r="IJS75" s="18"/>
      <c r="IJT75" s="52"/>
      <c r="IJU75" s="53"/>
      <c r="IJV75" s="54"/>
      <c r="IJW75" s="11"/>
      <c r="IJX75" s="14"/>
      <c r="IJY75" s="113"/>
      <c r="IJZ75" s="114"/>
      <c r="IKA75" s="115"/>
      <c r="IKB75" s="18"/>
      <c r="IKC75" s="52"/>
      <c r="IKD75" s="53"/>
      <c r="IKE75" s="54"/>
      <c r="IKF75" s="11"/>
      <c r="IKG75" s="14"/>
      <c r="IKH75" s="113"/>
      <c r="IKI75" s="114"/>
      <c r="IKJ75" s="115"/>
      <c r="IKK75" s="18"/>
      <c r="IKL75" s="52"/>
      <c r="IKM75" s="53"/>
      <c r="IKN75" s="54"/>
      <c r="IKO75" s="11"/>
      <c r="IKP75" s="14"/>
      <c r="IKQ75" s="113"/>
      <c r="IKR75" s="114"/>
      <c r="IKS75" s="115"/>
      <c r="IKT75" s="18"/>
      <c r="IKU75" s="52"/>
      <c r="IKV75" s="53"/>
      <c r="IKW75" s="54"/>
      <c r="IKX75" s="11"/>
      <c r="IKY75" s="14"/>
      <c r="IKZ75" s="113"/>
      <c r="ILA75" s="114"/>
      <c r="ILB75" s="115"/>
      <c r="ILC75" s="18"/>
      <c r="ILD75" s="52"/>
      <c r="ILE75" s="53"/>
      <c r="ILF75" s="54"/>
      <c r="ILG75" s="11"/>
      <c r="ILH75" s="14"/>
      <c r="ILI75" s="113"/>
      <c r="ILJ75" s="114"/>
      <c r="ILK75" s="115"/>
      <c r="ILL75" s="18"/>
      <c r="ILM75" s="52"/>
      <c r="ILN75" s="53"/>
      <c r="ILO75" s="54"/>
      <c r="ILP75" s="11"/>
      <c r="ILQ75" s="14"/>
      <c r="ILR75" s="113"/>
      <c r="ILS75" s="114"/>
      <c r="ILT75" s="115"/>
      <c r="ILU75" s="18"/>
      <c r="ILV75" s="52"/>
      <c r="ILW75" s="53"/>
      <c r="ILX75" s="54"/>
      <c r="ILY75" s="11"/>
      <c r="ILZ75" s="14"/>
      <c r="IMA75" s="113"/>
      <c r="IMB75" s="114"/>
      <c r="IMC75" s="115"/>
      <c r="IMD75" s="18"/>
      <c r="IME75" s="52"/>
      <c r="IMF75" s="53"/>
      <c r="IMG75" s="54"/>
      <c r="IMH75" s="11"/>
      <c r="IMI75" s="14"/>
      <c r="IMJ75" s="113"/>
      <c r="IMK75" s="114"/>
      <c r="IML75" s="115"/>
      <c r="IMM75" s="18"/>
      <c r="IMN75" s="52"/>
      <c r="IMO75" s="53"/>
      <c r="IMP75" s="54"/>
      <c r="IMQ75" s="11"/>
      <c r="IMR75" s="14"/>
      <c r="IMS75" s="113"/>
      <c r="IMT75" s="114"/>
      <c r="IMU75" s="115"/>
      <c r="IMV75" s="18"/>
      <c r="IMW75" s="52"/>
      <c r="IMX75" s="53"/>
      <c r="IMY75" s="54"/>
      <c r="IMZ75" s="11"/>
      <c r="INA75" s="14"/>
      <c r="INB75" s="113"/>
      <c r="INC75" s="114"/>
      <c r="IND75" s="115"/>
      <c r="INE75" s="18"/>
      <c r="INF75" s="52"/>
      <c r="ING75" s="53"/>
      <c r="INH75" s="54"/>
      <c r="INI75" s="11"/>
      <c r="INJ75" s="14"/>
      <c r="INK75" s="113"/>
      <c r="INL75" s="114"/>
      <c r="INM75" s="115"/>
      <c r="INN75" s="18"/>
      <c r="INO75" s="52"/>
      <c r="INP75" s="53"/>
      <c r="INQ75" s="54"/>
      <c r="INR75" s="11"/>
      <c r="INS75" s="14"/>
      <c r="INT75" s="113"/>
      <c r="INU75" s="114"/>
      <c r="INV75" s="115"/>
      <c r="INW75" s="18"/>
      <c r="INX75" s="52"/>
      <c r="INY75" s="53"/>
      <c r="INZ75" s="54"/>
      <c r="IOA75" s="11"/>
      <c r="IOB75" s="14"/>
      <c r="IOC75" s="113"/>
      <c r="IOD75" s="114"/>
      <c r="IOE75" s="115"/>
      <c r="IOF75" s="18"/>
      <c r="IOG75" s="52"/>
      <c r="IOH75" s="53"/>
      <c r="IOI75" s="54"/>
      <c r="IOJ75" s="11"/>
      <c r="IOK75" s="14"/>
      <c r="IOL75" s="113"/>
      <c r="IOM75" s="114"/>
      <c r="ION75" s="115"/>
      <c r="IOO75" s="18"/>
      <c r="IOP75" s="52"/>
      <c r="IOQ75" s="53"/>
      <c r="IOR75" s="54"/>
      <c r="IOS75" s="11"/>
      <c r="IOT75" s="14"/>
      <c r="IOU75" s="113"/>
      <c r="IOV75" s="114"/>
      <c r="IOW75" s="115"/>
      <c r="IOX75" s="18"/>
      <c r="IOY75" s="52"/>
      <c r="IOZ75" s="53"/>
      <c r="IPA75" s="54"/>
      <c r="IPB75" s="11"/>
      <c r="IPC75" s="14"/>
      <c r="IPD75" s="113"/>
      <c r="IPE75" s="114"/>
      <c r="IPF75" s="115"/>
      <c r="IPG75" s="18"/>
      <c r="IPH75" s="52"/>
      <c r="IPI75" s="53"/>
      <c r="IPJ75" s="54"/>
      <c r="IPK75" s="11"/>
      <c r="IPL75" s="14"/>
      <c r="IPM75" s="113"/>
      <c r="IPN75" s="114"/>
      <c r="IPO75" s="115"/>
      <c r="IPP75" s="18"/>
      <c r="IPQ75" s="52"/>
      <c r="IPR75" s="53"/>
      <c r="IPS75" s="54"/>
      <c r="IPT75" s="11"/>
      <c r="IPU75" s="14"/>
      <c r="IPV75" s="113"/>
      <c r="IPW75" s="114"/>
      <c r="IPX75" s="115"/>
      <c r="IPY75" s="18"/>
      <c r="IPZ75" s="52"/>
      <c r="IQA75" s="53"/>
      <c r="IQB75" s="54"/>
      <c r="IQC75" s="11"/>
      <c r="IQD75" s="14"/>
      <c r="IQE75" s="113"/>
      <c r="IQF75" s="114"/>
      <c r="IQG75" s="115"/>
      <c r="IQH75" s="18"/>
      <c r="IQI75" s="52"/>
      <c r="IQJ75" s="53"/>
      <c r="IQK75" s="54"/>
      <c r="IQL75" s="11"/>
      <c r="IQM75" s="14"/>
      <c r="IQN75" s="113"/>
      <c r="IQO75" s="114"/>
      <c r="IQP75" s="115"/>
      <c r="IQQ75" s="18"/>
      <c r="IQR75" s="52"/>
      <c r="IQS75" s="53"/>
      <c r="IQT75" s="54"/>
      <c r="IQU75" s="11"/>
      <c r="IQV75" s="14"/>
      <c r="IQW75" s="113"/>
      <c r="IQX75" s="114"/>
      <c r="IQY75" s="115"/>
      <c r="IQZ75" s="18"/>
      <c r="IRA75" s="52"/>
      <c r="IRB75" s="53"/>
      <c r="IRC75" s="54"/>
      <c r="IRD75" s="11"/>
      <c r="IRE75" s="14"/>
      <c r="IRF75" s="113"/>
      <c r="IRG75" s="114"/>
      <c r="IRH75" s="115"/>
      <c r="IRI75" s="18"/>
      <c r="IRJ75" s="52"/>
      <c r="IRK75" s="53"/>
      <c r="IRL75" s="54"/>
      <c r="IRM75" s="11"/>
      <c r="IRN75" s="14"/>
      <c r="IRO75" s="113"/>
      <c r="IRP75" s="114"/>
      <c r="IRQ75" s="115"/>
      <c r="IRR75" s="18"/>
      <c r="IRS75" s="52"/>
      <c r="IRT75" s="53"/>
      <c r="IRU75" s="54"/>
      <c r="IRV75" s="11"/>
      <c r="IRW75" s="14"/>
      <c r="IRX75" s="113"/>
      <c r="IRY75" s="114"/>
      <c r="IRZ75" s="115"/>
      <c r="ISA75" s="18"/>
      <c r="ISB75" s="52"/>
      <c r="ISC75" s="53"/>
      <c r="ISD75" s="54"/>
      <c r="ISE75" s="11"/>
      <c r="ISF75" s="14"/>
      <c r="ISG75" s="113"/>
      <c r="ISH75" s="114"/>
      <c r="ISI75" s="115"/>
      <c r="ISJ75" s="18"/>
      <c r="ISK75" s="52"/>
      <c r="ISL75" s="53"/>
      <c r="ISM75" s="54"/>
      <c r="ISN75" s="11"/>
      <c r="ISO75" s="14"/>
      <c r="ISP75" s="113"/>
      <c r="ISQ75" s="114"/>
      <c r="ISR75" s="115"/>
      <c r="ISS75" s="18"/>
      <c r="IST75" s="52"/>
      <c r="ISU75" s="53"/>
      <c r="ISV75" s="54"/>
      <c r="ISW75" s="11"/>
      <c r="ISX75" s="14"/>
      <c r="ISY75" s="113"/>
      <c r="ISZ75" s="114"/>
      <c r="ITA75" s="115"/>
      <c r="ITB75" s="18"/>
      <c r="ITC75" s="52"/>
      <c r="ITD75" s="53"/>
      <c r="ITE75" s="54"/>
      <c r="ITF75" s="11"/>
      <c r="ITG75" s="14"/>
      <c r="ITH75" s="113"/>
      <c r="ITI75" s="114"/>
      <c r="ITJ75" s="115"/>
      <c r="ITK75" s="18"/>
      <c r="ITL75" s="52"/>
      <c r="ITM75" s="53"/>
      <c r="ITN75" s="54"/>
      <c r="ITO75" s="11"/>
      <c r="ITP75" s="14"/>
      <c r="ITQ75" s="113"/>
      <c r="ITR75" s="114"/>
      <c r="ITS75" s="115"/>
      <c r="ITT75" s="18"/>
      <c r="ITU75" s="52"/>
      <c r="ITV75" s="53"/>
      <c r="ITW75" s="54"/>
      <c r="ITX75" s="11"/>
      <c r="ITY75" s="14"/>
      <c r="ITZ75" s="113"/>
      <c r="IUA75" s="114"/>
      <c r="IUB75" s="115"/>
      <c r="IUC75" s="18"/>
      <c r="IUD75" s="52"/>
      <c r="IUE75" s="53"/>
      <c r="IUF75" s="54"/>
      <c r="IUG75" s="11"/>
      <c r="IUH75" s="14"/>
      <c r="IUI75" s="113"/>
      <c r="IUJ75" s="114"/>
      <c r="IUK75" s="115"/>
      <c r="IUL75" s="18"/>
      <c r="IUM75" s="52"/>
      <c r="IUN75" s="53"/>
      <c r="IUO75" s="54"/>
      <c r="IUP75" s="11"/>
      <c r="IUQ75" s="14"/>
      <c r="IUR75" s="113"/>
      <c r="IUS75" s="114"/>
      <c r="IUT75" s="115"/>
      <c r="IUU75" s="18"/>
      <c r="IUV75" s="52"/>
      <c r="IUW75" s="53"/>
      <c r="IUX75" s="54"/>
      <c r="IUY75" s="11"/>
      <c r="IUZ75" s="14"/>
      <c r="IVA75" s="113"/>
      <c r="IVB75" s="114"/>
      <c r="IVC75" s="115"/>
      <c r="IVD75" s="18"/>
      <c r="IVE75" s="52"/>
      <c r="IVF75" s="53"/>
      <c r="IVG75" s="54"/>
      <c r="IVH75" s="11"/>
      <c r="IVI75" s="14"/>
      <c r="IVJ75" s="113"/>
      <c r="IVK75" s="114"/>
      <c r="IVL75" s="115"/>
      <c r="IVM75" s="18"/>
      <c r="IVN75" s="52"/>
      <c r="IVO75" s="53"/>
      <c r="IVP75" s="54"/>
      <c r="IVQ75" s="11"/>
      <c r="IVR75" s="14"/>
      <c r="IVS75" s="113"/>
      <c r="IVT75" s="114"/>
      <c r="IVU75" s="115"/>
      <c r="IVV75" s="18"/>
      <c r="IVW75" s="52"/>
      <c r="IVX75" s="53"/>
      <c r="IVY75" s="54"/>
      <c r="IVZ75" s="11"/>
      <c r="IWA75" s="14"/>
      <c r="IWB75" s="113"/>
      <c r="IWC75" s="114"/>
      <c r="IWD75" s="115"/>
      <c r="IWE75" s="18"/>
      <c r="IWF75" s="52"/>
      <c r="IWG75" s="53"/>
      <c r="IWH75" s="54"/>
      <c r="IWI75" s="11"/>
      <c r="IWJ75" s="14"/>
      <c r="IWK75" s="113"/>
      <c r="IWL75" s="114"/>
      <c r="IWM75" s="115"/>
      <c r="IWN75" s="18"/>
      <c r="IWO75" s="52"/>
      <c r="IWP75" s="53"/>
      <c r="IWQ75" s="54"/>
      <c r="IWR75" s="11"/>
      <c r="IWS75" s="14"/>
      <c r="IWT75" s="113"/>
      <c r="IWU75" s="114"/>
      <c r="IWV75" s="115"/>
      <c r="IWW75" s="18"/>
      <c r="IWX75" s="52"/>
      <c r="IWY75" s="53"/>
      <c r="IWZ75" s="54"/>
      <c r="IXA75" s="11"/>
      <c r="IXB75" s="14"/>
      <c r="IXC75" s="113"/>
      <c r="IXD75" s="114"/>
      <c r="IXE75" s="115"/>
      <c r="IXF75" s="18"/>
      <c r="IXG75" s="52"/>
      <c r="IXH75" s="53"/>
      <c r="IXI75" s="54"/>
      <c r="IXJ75" s="11"/>
      <c r="IXK75" s="14"/>
      <c r="IXL75" s="113"/>
      <c r="IXM75" s="114"/>
      <c r="IXN75" s="115"/>
      <c r="IXO75" s="18"/>
      <c r="IXP75" s="52"/>
      <c r="IXQ75" s="53"/>
      <c r="IXR75" s="54"/>
      <c r="IXS75" s="11"/>
      <c r="IXT75" s="14"/>
      <c r="IXU75" s="113"/>
      <c r="IXV75" s="114"/>
      <c r="IXW75" s="115"/>
      <c r="IXX75" s="18"/>
      <c r="IXY75" s="52"/>
      <c r="IXZ75" s="53"/>
      <c r="IYA75" s="54"/>
      <c r="IYB75" s="11"/>
      <c r="IYC75" s="14"/>
      <c r="IYD75" s="113"/>
      <c r="IYE75" s="114"/>
      <c r="IYF75" s="115"/>
      <c r="IYG75" s="18"/>
      <c r="IYH75" s="52"/>
      <c r="IYI75" s="53"/>
      <c r="IYJ75" s="54"/>
      <c r="IYK75" s="11"/>
      <c r="IYL75" s="14"/>
      <c r="IYM75" s="113"/>
      <c r="IYN75" s="114"/>
      <c r="IYO75" s="115"/>
      <c r="IYP75" s="18"/>
      <c r="IYQ75" s="52"/>
      <c r="IYR75" s="53"/>
      <c r="IYS75" s="54"/>
      <c r="IYT75" s="11"/>
      <c r="IYU75" s="14"/>
      <c r="IYV75" s="113"/>
      <c r="IYW75" s="114"/>
      <c r="IYX75" s="115"/>
      <c r="IYY75" s="18"/>
      <c r="IYZ75" s="52"/>
      <c r="IZA75" s="53"/>
      <c r="IZB75" s="54"/>
      <c r="IZC75" s="11"/>
      <c r="IZD75" s="14"/>
      <c r="IZE75" s="113"/>
      <c r="IZF75" s="114"/>
      <c r="IZG75" s="115"/>
      <c r="IZH75" s="18"/>
      <c r="IZI75" s="52"/>
      <c r="IZJ75" s="53"/>
      <c r="IZK75" s="54"/>
      <c r="IZL75" s="11"/>
      <c r="IZM75" s="14"/>
      <c r="IZN75" s="113"/>
      <c r="IZO75" s="114"/>
      <c r="IZP75" s="115"/>
      <c r="IZQ75" s="18"/>
      <c r="IZR75" s="52"/>
      <c r="IZS75" s="53"/>
      <c r="IZT75" s="54"/>
      <c r="IZU75" s="11"/>
      <c r="IZV75" s="14"/>
      <c r="IZW75" s="113"/>
      <c r="IZX75" s="114"/>
      <c r="IZY75" s="115"/>
      <c r="IZZ75" s="18"/>
      <c r="JAA75" s="52"/>
      <c r="JAB75" s="53"/>
      <c r="JAC75" s="54"/>
      <c r="JAD75" s="11"/>
      <c r="JAE75" s="14"/>
      <c r="JAF75" s="113"/>
      <c r="JAG75" s="114"/>
      <c r="JAH75" s="115"/>
      <c r="JAI75" s="18"/>
      <c r="JAJ75" s="52"/>
      <c r="JAK75" s="53"/>
      <c r="JAL75" s="54"/>
      <c r="JAM75" s="11"/>
      <c r="JAN75" s="14"/>
      <c r="JAO75" s="113"/>
      <c r="JAP75" s="114"/>
      <c r="JAQ75" s="115"/>
      <c r="JAR75" s="18"/>
      <c r="JAS75" s="52"/>
      <c r="JAT75" s="53"/>
      <c r="JAU75" s="54"/>
      <c r="JAV75" s="11"/>
      <c r="JAW75" s="14"/>
      <c r="JAX75" s="113"/>
      <c r="JAY75" s="114"/>
      <c r="JAZ75" s="115"/>
      <c r="JBA75" s="18"/>
      <c r="JBB75" s="52"/>
      <c r="JBC75" s="53"/>
      <c r="JBD75" s="54"/>
      <c r="JBE75" s="11"/>
      <c r="JBF75" s="14"/>
      <c r="JBG75" s="113"/>
      <c r="JBH75" s="114"/>
      <c r="JBI75" s="115"/>
      <c r="JBJ75" s="18"/>
      <c r="JBK75" s="52"/>
      <c r="JBL75" s="53"/>
      <c r="JBM75" s="54"/>
      <c r="JBN75" s="11"/>
      <c r="JBO75" s="14"/>
      <c r="JBP75" s="113"/>
      <c r="JBQ75" s="114"/>
      <c r="JBR75" s="115"/>
      <c r="JBS75" s="18"/>
      <c r="JBT75" s="52"/>
      <c r="JBU75" s="53"/>
      <c r="JBV75" s="54"/>
      <c r="JBW75" s="11"/>
      <c r="JBX75" s="14"/>
      <c r="JBY75" s="113"/>
      <c r="JBZ75" s="114"/>
      <c r="JCA75" s="115"/>
      <c r="JCB75" s="18"/>
      <c r="JCC75" s="52"/>
      <c r="JCD75" s="53"/>
      <c r="JCE75" s="54"/>
      <c r="JCF75" s="11"/>
      <c r="JCG75" s="14"/>
      <c r="JCH75" s="113"/>
      <c r="JCI75" s="114"/>
      <c r="JCJ75" s="115"/>
      <c r="JCK75" s="18"/>
      <c r="JCL75" s="52"/>
      <c r="JCM75" s="53"/>
      <c r="JCN75" s="54"/>
      <c r="JCO75" s="11"/>
      <c r="JCP75" s="14"/>
      <c r="JCQ75" s="113"/>
      <c r="JCR75" s="114"/>
      <c r="JCS75" s="115"/>
      <c r="JCT75" s="18"/>
      <c r="JCU75" s="52"/>
      <c r="JCV75" s="53"/>
      <c r="JCW75" s="54"/>
      <c r="JCX75" s="11"/>
      <c r="JCY75" s="14"/>
      <c r="JCZ75" s="113"/>
      <c r="JDA75" s="114"/>
      <c r="JDB75" s="115"/>
      <c r="JDC75" s="18"/>
      <c r="JDD75" s="52"/>
      <c r="JDE75" s="53"/>
      <c r="JDF75" s="54"/>
      <c r="JDG75" s="11"/>
      <c r="JDH75" s="14"/>
      <c r="JDI75" s="113"/>
      <c r="JDJ75" s="114"/>
      <c r="JDK75" s="115"/>
      <c r="JDL75" s="18"/>
      <c r="JDM75" s="52"/>
      <c r="JDN75" s="53"/>
      <c r="JDO75" s="54"/>
      <c r="JDP75" s="11"/>
      <c r="JDQ75" s="14"/>
      <c r="JDR75" s="113"/>
      <c r="JDS75" s="114"/>
      <c r="JDT75" s="115"/>
      <c r="JDU75" s="18"/>
      <c r="JDV75" s="52"/>
      <c r="JDW75" s="53"/>
      <c r="JDX75" s="54"/>
      <c r="JDY75" s="11"/>
      <c r="JDZ75" s="14"/>
      <c r="JEA75" s="113"/>
      <c r="JEB75" s="114"/>
      <c r="JEC75" s="115"/>
      <c r="JED75" s="18"/>
      <c r="JEE75" s="52"/>
      <c r="JEF75" s="53"/>
      <c r="JEG75" s="54"/>
      <c r="JEH75" s="11"/>
      <c r="JEI75" s="14"/>
      <c r="JEJ75" s="113"/>
      <c r="JEK75" s="114"/>
      <c r="JEL75" s="115"/>
      <c r="JEM75" s="18"/>
      <c r="JEN75" s="52"/>
      <c r="JEO75" s="53"/>
      <c r="JEP75" s="54"/>
      <c r="JEQ75" s="11"/>
      <c r="JER75" s="14"/>
      <c r="JES75" s="113"/>
      <c r="JET75" s="114"/>
      <c r="JEU75" s="115"/>
      <c r="JEV75" s="18"/>
      <c r="JEW75" s="52"/>
      <c r="JEX75" s="53"/>
      <c r="JEY75" s="54"/>
      <c r="JEZ75" s="11"/>
      <c r="JFA75" s="14"/>
      <c r="JFB75" s="113"/>
      <c r="JFC75" s="114"/>
      <c r="JFD75" s="115"/>
      <c r="JFE75" s="18"/>
      <c r="JFF75" s="52"/>
      <c r="JFG75" s="53"/>
      <c r="JFH75" s="54"/>
      <c r="JFI75" s="11"/>
      <c r="JFJ75" s="14"/>
      <c r="JFK75" s="113"/>
      <c r="JFL75" s="114"/>
      <c r="JFM75" s="115"/>
      <c r="JFN75" s="18"/>
      <c r="JFO75" s="52"/>
      <c r="JFP75" s="53"/>
      <c r="JFQ75" s="54"/>
      <c r="JFR75" s="11"/>
      <c r="JFS75" s="14"/>
      <c r="JFT75" s="113"/>
      <c r="JFU75" s="114"/>
      <c r="JFV75" s="115"/>
      <c r="JFW75" s="18"/>
      <c r="JFX75" s="52"/>
      <c r="JFY75" s="53"/>
      <c r="JFZ75" s="54"/>
      <c r="JGA75" s="11"/>
      <c r="JGB75" s="14"/>
      <c r="JGC75" s="113"/>
      <c r="JGD75" s="114"/>
      <c r="JGE75" s="115"/>
      <c r="JGF75" s="18"/>
      <c r="JGG75" s="52"/>
      <c r="JGH75" s="53"/>
      <c r="JGI75" s="54"/>
      <c r="JGJ75" s="11"/>
      <c r="JGK75" s="14"/>
      <c r="JGL75" s="113"/>
      <c r="JGM75" s="114"/>
      <c r="JGN75" s="115"/>
      <c r="JGO75" s="18"/>
      <c r="JGP75" s="52"/>
      <c r="JGQ75" s="53"/>
      <c r="JGR75" s="54"/>
      <c r="JGS75" s="11"/>
      <c r="JGT75" s="14"/>
      <c r="JGU75" s="113"/>
      <c r="JGV75" s="114"/>
      <c r="JGW75" s="115"/>
      <c r="JGX75" s="18"/>
      <c r="JGY75" s="52"/>
      <c r="JGZ75" s="53"/>
      <c r="JHA75" s="54"/>
      <c r="JHB75" s="11"/>
      <c r="JHC75" s="14"/>
      <c r="JHD75" s="113"/>
      <c r="JHE75" s="114"/>
      <c r="JHF75" s="115"/>
      <c r="JHG75" s="18"/>
      <c r="JHH75" s="52"/>
      <c r="JHI75" s="53"/>
      <c r="JHJ75" s="54"/>
      <c r="JHK75" s="11"/>
      <c r="JHL75" s="14"/>
      <c r="JHM75" s="113"/>
      <c r="JHN75" s="114"/>
      <c r="JHO75" s="115"/>
      <c r="JHP75" s="18"/>
      <c r="JHQ75" s="52"/>
      <c r="JHR75" s="53"/>
      <c r="JHS75" s="54"/>
      <c r="JHT75" s="11"/>
      <c r="JHU75" s="14"/>
      <c r="JHV75" s="113"/>
      <c r="JHW75" s="114"/>
      <c r="JHX75" s="115"/>
      <c r="JHY75" s="18"/>
      <c r="JHZ75" s="52"/>
      <c r="JIA75" s="53"/>
      <c r="JIB75" s="54"/>
      <c r="JIC75" s="11"/>
      <c r="JID75" s="14"/>
      <c r="JIE75" s="113"/>
      <c r="JIF75" s="114"/>
      <c r="JIG75" s="115"/>
      <c r="JIH75" s="18"/>
      <c r="JII75" s="52"/>
      <c r="JIJ75" s="53"/>
      <c r="JIK75" s="54"/>
      <c r="JIL75" s="11"/>
      <c r="JIM75" s="14"/>
      <c r="JIN75" s="113"/>
      <c r="JIO75" s="114"/>
      <c r="JIP75" s="115"/>
      <c r="JIQ75" s="18"/>
      <c r="JIR75" s="52"/>
      <c r="JIS75" s="53"/>
      <c r="JIT75" s="54"/>
      <c r="JIU75" s="11"/>
      <c r="JIV75" s="14"/>
      <c r="JIW75" s="113"/>
      <c r="JIX75" s="114"/>
      <c r="JIY75" s="115"/>
      <c r="JIZ75" s="18"/>
      <c r="JJA75" s="52"/>
      <c r="JJB75" s="53"/>
      <c r="JJC75" s="54"/>
      <c r="JJD75" s="11"/>
      <c r="JJE75" s="14"/>
      <c r="JJF75" s="113"/>
      <c r="JJG75" s="114"/>
      <c r="JJH75" s="115"/>
      <c r="JJI75" s="18"/>
      <c r="JJJ75" s="52"/>
      <c r="JJK75" s="53"/>
      <c r="JJL75" s="54"/>
      <c r="JJM75" s="11"/>
      <c r="JJN75" s="14"/>
      <c r="JJO75" s="113"/>
      <c r="JJP75" s="114"/>
      <c r="JJQ75" s="115"/>
      <c r="JJR75" s="18"/>
      <c r="JJS75" s="52"/>
      <c r="JJT75" s="53"/>
      <c r="JJU75" s="54"/>
      <c r="JJV75" s="11"/>
      <c r="JJW75" s="14"/>
      <c r="JJX75" s="113"/>
      <c r="JJY75" s="114"/>
      <c r="JJZ75" s="115"/>
      <c r="JKA75" s="18"/>
      <c r="JKB75" s="52"/>
      <c r="JKC75" s="53"/>
      <c r="JKD75" s="54"/>
      <c r="JKE75" s="11"/>
      <c r="JKF75" s="14"/>
      <c r="JKG75" s="113"/>
      <c r="JKH75" s="114"/>
      <c r="JKI75" s="115"/>
      <c r="JKJ75" s="18"/>
      <c r="JKK75" s="52"/>
      <c r="JKL75" s="53"/>
      <c r="JKM75" s="54"/>
      <c r="JKN75" s="11"/>
      <c r="JKO75" s="14"/>
      <c r="JKP75" s="113"/>
      <c r="JKQ75" s="114"/>
      <c r="JKR75" s="115"/>
      <c r="JKS75" s="18"/>
      <c r="JKT75" s="52"/>
      <c r="JKU75" s="53"/>
      <c r="JKV75" s="54"/>
      <c r="JKW75" s="11"/>
      <c r="JKX75" s="14"/>
      <c r="JKY75" s="113"/>
      <c r="JKZ75" s="114"/>
      <c r="JLA75" s="115"/>
      <c r="JLB75" s="18"/>
      <c r="JLC75" s="52"/>
      <c r="JLD75" s="53"/>
      <c r="JLE75" s="54"/>
      <c r="JLF75" s="11"/>
      <c r="JLG75" s="14"/>
      <c r="JLH75" s="113"/>
      <c r="JLI75" s="114"/>
      <c r="JLJ75" s="115"/>
      <c r="JLK75" s="18"/>
      <c r="JLL75" s="52"/>
      <c r="JLM75" s="53"/>
      <c r="JLN75" s="54"/>
      <c r="JLO75" s="11"/>
      <c r="JLP75" s="14"/>
      <c r="JLQ75" s="113"/>
      <c r="JLR75" s="114"/>
      <c r="JLS75" s="115"/>
      <c r="JLT75" s="18"/>
      <c r="JLU75" s="52"/>
      <c r="JLV75" s="53"/>
      <c r="JLW75" s="54"/>
      <c r="JLX75" s="11"/>
      <c r="JLY75" s="14"/>
      <c r="JLZ75" s="113"/>
      <c r="JMA75" s="114"/>
      <c r="JMB75" s="115"/>
      <c r="JMC75" s="18"/>
      <c r="JMD75" s="52"/>
      <c r="JME75" s="53"/>
      <c r="JMF75" s="54"/>
      <c r="JMG75" s="11"/>
      <c r="JMH75" s="14"/>
      <c r="JMI75" s="113"/>
      <c r="JMJ75" s="114"/>
      <c r="JMK75" s="115"/>
      <c r="JML75" s="18"/>
      <c r="JMM75" s="52"/>
      <c r="JMN75" s="53"/>
      <c r="JMO75" s="54"/>
      <c r="JMP75" s="11"/>
      <c r="JMQ75" s="14"/>
      <c r="JMR75" s="113"/>
      <c r="JMS75" s="114"/>
      <c r="JMT75" s="115"/>
      <c r="JMU75" s="18"/>
      <c r="JMV75" s="52"/>
      <c r="JMW75" s="53"/>
      <c r="JMX75" s="54"/>
      <c r="JMY75" s="11"/>
      <c r="JMZ75" s="14"/>
      <c r="JNA75" s="113"/>
      <c r="JNB75" s="114"/>
      <c r="JNC75" s="115"/>
      <c r="JND75" s="18"/>
      <c r="JNE75" s="52"/>
      <c r="JNF75" s="53"/>
      <c r="JNG75" s="54"/>
      <c r="JNH75" s="11"/>
      <c r="JNI75" s="14"/>
      <c r="JNJ75" s="113"/>
      <c r="JNK75" s="114"/>
      <c r="JNL75" s="115"/>
      <c r="JNM75" s="18"/>
      <c r="JNN75" s="52"/>
      <c r="JNO75" s="53"/>
      <c r="JNP75" s="54"/>
      <c r="JNQ75" s="11"/>
      <c r="JNR75" s="14"/>
      <c r="JNS75" s="113"/>
      <c r="JNT75" s="114"/>
      <c r="JNU75" s="115"/>
      <c r="JNV75" s="18"/>
      <c r="JNW75" s="52"/>
      <c r="JNX75" s="53"/>
      <c r="JNY75" s="54"/>
      <c r="JNZ75" s="11"/>
      <c r="JOA75" s="14"/>
      <c r="JOB75" s="113"/>
      <c r="JOC75" s="114"/>
      <c r="JOD75" s="115"/>
      <c r="JOE75" s="18"/>
      <c r="JOF75" s="52"/>
      <c r="JOG75" s="53"/>
      <c r="JOH75" s="54"/>
      <c r="JOI75" s="11"/>
      <c r="JOJ75" s="14"/>
      <c r="JOK75" s="113"/>
      <c r="JOL75" s="114"/>
      <c r="JOM75" s="115"/>
      <c r="JON75" s="18"/>
      <c r="JOO75" s="52"/>
      <c r="JOP75" s="53"/>
      <c r="JOQ75" s="54"/>
      <c r="JOR75" s="11"/>
      <c r="JOS75" s="14"/>
      <c r="JOT75" s="113"/>
      <c r="JOU75" s="114"/>
      <c r="JOV75" s="115"/>
      <c r="JOW75" s="18"/>
      <c r="JOX75" s="52"/>
      <c r="JOY75" s="53"/>
      <c r="JOZ75" s="54"/>
      <c r="JPA75" s="11"/>
      <c r="JPB75" s="14"/>
      <c r="JPC75" s="113"/>
      <c r="JPD75" s="114"/>
      <c r="JPE75" s="115"/>
      <c r="JPF75" s="18"/>
      <c r="JPG75" s="52"/>
      <c r="JPH75" s="53"/>
      <c r="JPI75" s="54"/>
      <c r="JPJ75" s="11"/>
      <c r="JPK75" s="14"/>
      <c r="JPL75" s="113"/>
      <c r="JPM75" s="114"/>
      <c r="JPN75" s="115"/>
      <c r="JPO75" s="18"/>
      <c r="JPP75" s="52"/>
      <c r="JPQ75" s="53"/>
      <c r="JPR75" s="54"/>
      <c r="JPS75" s="11"/>
      <c r="JPT75" s="14"/>
      <c r="JPU75" s="113"/>
      <c r="JPV75" s="114"/>
      <c r="JPW75" s="115"/>
      <c r="JPX75" s="18"/>
      <c r="JPY75" s="52"/>
      <c r="JPZ75" s="53"/>
      <c r="JQA75" s="54"/>
      <c r="JQB75" s="11"/>
      <c r="JQC75" s="14"/>
      <c r="JQD75" s="113"/>
      <c r="JQE75" s="114"/>
      <c r="JQF75" s="115"/>
      <c r="JQG75" s="18"/>
      <c r="JQH75" s="52"/>
      <c r="JQI75" s="53"/>
      <c r="JQJ75" s="54"/>
      <c r="JQK75" s="11"/>
      <c r="JQL75" s="14"/>
      <c r="JQM75" s="113"/>
      <c r="JQN75" s="114"/>
      <c r="JQO75" s="115"/>
      <c r="JQP75" s="18"/>
      <c r="JQQ75" s="52"/>
      <c r="JQR75" s="53"/>
      <c r="JQS75" s="54"/>
      <c r="JQT75" s="11"/>
      <c r="JQU75" s="14"/>
      <c r="JQV75" s="113"/>
      <c r="JQW75" s="114"/>
      <c r="JQX75" s="115"/>
      <c r="JQY75" s="18"/>
      <c r="JQZ75" s="52"/>
      <c r="JRA75" s="53"/>
      <c r="JRB75" s="54"/>
      <c r="JRC75" s="11"/>
      <c r="JRD75" s="14"/>
      <c r="JRE75" s="113"/>
      <c r="JRF75" s="114"/>
      <c r="JRG75" s="115"/>
      <c r="JRH75" s="18"/>
      <c r="JRI75" s="52"/>
      <c r="JRJ75" s="53"/>
      <c r="JRK75" s="54"/>
      <c r="JRL75" s="11"/>
      <c r="JRM75" s="14"/>
      <c r="JRN75" s="113"/>
      <c r="JRO75" s="114"/>
      <c r="JRP75" s="115"/>
      <c r="JRQ75" s="18"/>
      <c r="JRR75" s="52"/>
      <c r="JRS75" s="53"/>
      <c r="JRT75" s="54"/>
      <c r="JRU75" s="11"/>
      <c r="JRV75" s="14"/>
      <c r="JRW75" s="113"/>
      <c r="JRX75" s="114"/>
      <c r="JRY75" s="115"/>
      <c r="JRZ75" s="18"/>
      <c r="JSA75" s="52"/>
      <c r="JSB75" s="53"/>
      <c r="JSC75" s="54"/>
      <c r="JSD75" s="11"/>
      <c r="JSE75" s="14"/>
      <c r="JSF75" s="113"/>
      <c r="JSG75" s="114"/>
      <c r="JSH75" s="115"/>
      <c r="JSI75" s="18"/>
      <c r="JSJ75" s="52"/>
      <c r="JSK75" s="53"/>
      <c r="JSL75" s="54"/>
      <c r="JSM75" s="11"/>
      <c r="JSN75" s="14"/>
      <c r="JSO75" s="113"/>
      <c r="JSP75" s="114"/>
      <c r="JSQ75" s="115"/>
      <c r="JSR75" s="18"/>
      <c r="JSS75" s="52"/>
      <c r="JST75" s="53"/>
      <c r="JSU75" s="54"/>
      <c r="JSV75" s="11"/>
      <c r="JSW75" s="14"/>
      <c r="JSX75" s="113"/>
      <c r="JSY75" s="114"/>
      <c r="JSZ75" s="115"/>
      <c r="JTA75" s="18"/>
      <c r="JTB75" s="52"/>
      <c r="JTC75" s="53"/>
      <c r="JTD75" s="54"/>
      <c r="JTE75" s="11"/>
      <c r="JTF75" s="14"/>
      <c r="JTG75" s="113"/>
      <c r="JTH75" s="114"/>
      <c r="JTI75" s="115"/>
      <c r="JTJ75" s="18"/>
      <c r="JTK75" s="52"/>
      <c r="JTL75" s="53"/>
      <c r="JTM75" s="54"/>
      <c r="JTN75" s="11"/>
      <c r="JTO75" s="14"/>
      <c r="JTP75" s="113"/>
      <c r="JTQ75" s="114"/>
      <c r="JTR75" s="115"/>
      <c r="JTS75" s="18"/>
      <c r="JTT75" s="52"/>
      <c r="JTU75" s="53"/>
      <c r="JTV75" s="54"/>
      <c r="JTW75" s="11"/>
      <c r="JTX75" s="14"/>
      <c r="JTY75" s="113"/>
      <c r="JTZ75" s="114"/>
      <c r="JUA75" s="115"/>
      <c r="JUB75" s="18"/>
      <c r="JUC75" s="52"/>
      <c r="JUD75" s="53"/>
      <c r="JUE75" s="54"/>
      <c r="JUF75" s="11"/>
      <c r="JUG75" s="14"/>
      <c r="JUH75" s="113"/>
      <c r="JUI75" s="114"/>
      <c r="JUJ75" s="115"/>
      <c r="JUK75" s="18"/>
      <c r="JUL75" s="52"/>
      <c r="JUM75" s="53"/>
      <c r="JUN75" s="54"/>
      <c r="JUO75" s="11"/>
      <c r="JUP75" s="14"/>
      <c r="JUQ75" s="113"/>
      <c r="JUR75" s="114"/>
      <c r="JUS75" s="115"/>
      <c r="JUT75" s="18"/>
      <c r="JUU75" s="52"/>
      <c r="JUV75" s="53"/>
      <c r="JUW75" s="54"/>
      <c r="JUX75" s="11"/>
      <c r="JUY75" s="14"/>
      <c r="JUZ75" s="113"/>
      <c r="JVA75" s="114"/>
      <c r="JVB75" s="115"/>
      <c r="JVC75" s="18"/>
      <c r="JVD75" s="52"/>
      <c r="JVE75" s="53"/>
      <c r="JVF75" s="54"/>
      <c r="JVG75" s="11"/>
      <c r="JVH75" s="14"/>
      <c r="JVI75" s="113"/>
      <c r="JVJ75" s="114"/>
      <c r="JVK75" s="115"/>
      <c r="JVL75" s="18"/>
      <c r="JVM75" s="52"/>
      <c r="JVN75" s="53"/>
      <c r="JVO75" s="54"/>
      <c r="JVP75" s="11"/>
      <c r="JVQ75" s="14"/>
      <c r="JVR75" s="113"/>
      <c r="JVS75" s="114"/>
      <c r="JVT75" s="115"/>
      <c r="JVU75" s="18"/>
      <c r="JVV75" s="52"/>
      <c r="JVW75" s="53"/>
      <c r="JVX75" s="54"/>
      <c r="JVY75" s="11"/>
      <c r="JVZ75" s="14"/>
      <c r="JWA75" s="113"/>
      <c r="JWB75" s="114"/>
      <c r="JWC75" s="115"/>
      <c r="JWD75" s="18"/>
      <c r="JWE75" s="52"/>
      <c r="JWF75" s="53"/>
      <c r="JWG75" s="54"/>
      <c r="JWH75" s="11"/>
      <c r="JWI75" s="14"/>
      <c r="JWJ75" s="113"/>
      <c r="JWK75" s="114"/>
      <c r="JWL75" s="115"/>
      <c r="JWM75" s="18"/>
      <c r="JWN75" s="52"/>
      <c r="JWO75" s="53"/>
      <c r="JWP75" s="54"/>
      <c r="JWQ75" s="11"/>
      <c r="JWR75" s="14"/>
      <c r="JWS75" s="113"/>
      <c r="JWT75" s="114"/>
      <c r="JWU75" s="115"/>
      <c r="JWV75" s="18"/>
      <c r="JWW75" s="52"/>
      <c r="JWX75" s="53"/>
      <c r="JWY75" s="54"/>
      <c r="JWZ75" s="11"/>
      <c r="JXA75" s="14"/>
      <c r="JXB75" s="113"/>
      <c r="JXC75" s="114"/>
      <c r="JXD75" s="115"/>
      <c r="JXE75" s="18"/>
      <c r="JXF75" s="52"/>
      <c r="JXG75" s="53"/>
      <c r="JXH75" s="54"/>
      <c r="JXI75" s="11"/>
      <c r="JXJ75" s="14"/>
      <c r="JXK75" s="113"/>
      <c r="JXL75" s="114"/>
      <c r="JXM75" s="115"/>
      <c r="JXN75" s="18"/>
      <c r="JXO75" s="52"/>
      <c r="JXP75" s="53"/>
      <c r="JXQ75" s="54"/>
      <c r="JXR75" s="11"/>
      <c r="JXS75" s="14"/>
      <c r="JXT75" s="113"/>
      <c r="JXU75" s="114"/>
      <c r="JXV75" s="115"/>
      <c r="JXW75" s="18"/>
      <c r="JXX75" s="52"/>
      <c r="JXY75" s="53"/>
      <c r="JXZ75" s="54"/>
      <c r="JYA75" s="11"/>
      <c r="JYB75" s="14"/>
      <c r="JYC75" s="113"/>
      <c r="JYD75" s="114"/>
      <c r="JYE75" s="115"/>
      <c r="JYF75" s="18"/>
      <c r="JYG75" s="52"/>
      <c r="JYH75" s="53"/>
      <c r="JYI75" s="54"/>
      <c r="JYJ75" s="11"/>
      <c r="JYK75" s="14"/>
      <c r="JYL75" s="113"/>
      <c r="JYM75" s="114"/>
      <c r="JYN75" s="115"/>
      <c r="JYO75" s="18"/>
      <c r="JYP75" s="52"/>
      <c r="JYQ75" s="53"/>
      <c r="JYR75" s="54"/>
      <c r="JYS75" s="11"/>
      <c r="JYT75" s="14"/>
      <c r="JYU75" s="113"/>
      <c r="JYV75" s="114"/>
      <c r="JYW75" s="115"/>
      <c r="JYX75" s="18"/>
      <c r="JYY75" s="52"/>
      <c r="JYZ75" s="53"/>
      <c r="JZA75" s="54"/>
      <c r="JZB75" s="11"/>
      <c r="JZC75" s="14"/>
      <c r="JZD75" s="113"/>
      <c r="JZE75" s="114"/>
      <c r="JZF75" s="115"/>
      <c r="JZG75" s="18"/>
      <c r="JZH75" s="52"/>
      <c r="JZI75" s="53"/>
      <c r="JZJ75" s="54"/>
      <c r="JZK75" s="11"/>
      <c r="JZL75" s="14"/>
      <c r="JZM75" s="113"/>
      <c r="JZN75" s="114"/>
      <c r="JZO75" s="115"/>
      <c r="JZP75" s="18"/>
      <c r="JZQ75" s="52"/>
      <c r="JZR75" s="53"/>
      <c r="JZS75" s="54"/>
      <c r="JZT75" s="11"/>
      <c r="JZU75" s="14"/>
      <c r="JZV75" s="113"/>
      <c r="JZW75" s="114"/>
      <c r="JZX75" s="115"/>
      <c r="JZY75" s="18"/>
      <c r="JZZ75" s="52"/>
      <c r="KAA75" s="53"/>
      <c r="KAB75" s="54"/>
      <c r="KAC75" s="11"/>
      <c r="KAD75" s="14"/>
      <c r="KAE75" s="113"/>
      <c r="KAF75" s="114"/>
      <c r="KAG75" s="115"/>
      <c r="KAH75" s="18"/>
      <c r="KAI75" s="52"/>
      <c r="KAJ75" s="53"/>
      <c r="KAK75" s="54"/>
      <c r="KAL75" s="11"/>
      <c r="KAM75" s="14"/>
      <c r="KAN75" s="113"/>
      <c r="KAO75" s="114"/>
      <c r="KAP75" s="115"/>
      <c r="KAQ75" s="18"/>
      <c r="KAR75" s="52"/>
      <c r="KAS75" s="53"/>
      <c r="KAT75" s="54"/>
      <c r="KAU75" s="11"/>
      <c r="KAV75" s="14"/>
      <c r="KAW75" s="113"/>
      <c r="KAX75" s="114"/>
      <c r="KAY75" s="115"/>
      <c r="KAZ75" s="18"/>
      <c r="KBA75" s="52"/>
      <c r="KBB75" s="53"/>
      <c r="KBC75" s="54"/>
      <c r="KBD75" s="11"/>
      <c r="KBE75" s="14"/>
      <c r="KBF75" s="113"/>
      <c r="KBG75" s="114"/>
      <c r="KBH75" s="115"/>
      <c r="KBI75" s="18"/>
      <c r="KBJ75" s="52"/>
      <c r="KBK75" s="53"/>
      <c r="KBL75" s="54"/>
      <c r="KBM75" s="11"/>
      <c r="KBN75" s="14"/>
      <c r="KBO75" s="113"/>
      <c r="KBP75" s="114"/>
      <c r="KBQ75" s="115"/>
      <c r="KBR75" s="18"/>
      <c r="KBS75" s="52"/>
      <c r="KBT75" s="53"/>
      <c r="KBU75" s="54"/>
      <c r="KBV75" s="11"/>
      <c r="KBW75" s="14"/>
      <c r="KBX75" s="113"/>
      <c r="KBY75" s="114"/>
      <c r="KBZ75" s="115"/>
      <c r="KCA75" s="18"/>
      <c r="KCB75" s="52"/>
      <c r="KCC75" s="53"/>
      <c r="KCD75" s="54"/>
      <c r="KCE75" s="11"/>
      <c r="KCF75" s="14"/>
      <c r="KCG75" s="113"/>
      <c r="KCH75" s="114"/>
      <c r="KCI75" s="115"/>
      <c r="KCJ75" s="18"/>
      <c r="KCK75" s="52"/>
      <c r="KCL75" s="53"/>
      <c r="KCM75" s="54"/>
      <c r="KCN75" s="11"/>
      <c r="KCO75" s="14"/>
      <c r="KCP75" s="113"/>
      <c r="KCQ75" s="114"/>
      <c r="KCR75" s="115"/>
      <c r="KCS75" s="18"/>
      <c r="KCT75" s="52"/>
      <c r="KCU75" s="53"/>
      <c r="KCV75" s="54"/>
      <c r="KCW75" s="11"/>
      <c r="KCX75" s="14"/>
      <c r="KCY75" s="113"/>
      <c r="KCZ75" s="114"/>
      <c r="KDA75" s="115"/>
      <c r="KDB75" s="18"/>
      <c r="KDC75" s="52"/>
      <c r="KDD75" s="53"/>
      <c r="KDE75" s="54"/>
      <c r="KDF75" s="11"/>
      <c r="KDG75" s="14"/>
      <c r="KDH75" s="113"/>
      <c r="KDI75" s="114"/>
      <c r="KDJ75" s="115"/>
      <c r="KDK75" s="18"/>
      <c r="KDL75" s="52"/>
      <c r="KDM75" s="53"/>
      <c r="KDN75" s="54"/>
      <c r="KDO75" s="11"/>
      <c r="KDP75" s="14"/>
      <c r="KDQ75" s="113"/>
      <c r="KDR75" s="114"/>
      <c r="KDS75" s="115"/>
      <c r="KDT75" s="18"/>
      <c r="KDU75" s="52"/>
      <c r="KDV75" s="53"/>
      <c r="KDW75" s="54"/>
      <c r="KDX75" s="11"/>
      <c r="KDY75" s="14"/>
      <c r="KDZ75" s="113"/>
      <c r="KEA75" s="114"/>
      <c r="KEB75" s="115"/>
      <c r="KEC75" s="18"/>
      <c r="KED75" s="52"/>
      <c r="KEE75" s="53"/>
      <c r="KEF75" s="54"/>
      <c r="KEG75" s="11"/>
      <c r="KEH75" s="14"/>
      <c r="KEI75" s="113"/>
      <c r="KEJ75" s="114"/>
      <c r="KEK75" s="115"/>
      <c r="KEL75" s="18"/>
      <c r="KEM75" s="52"/>
      <c r="KEN75" s="53"/>
      <c r="KEO75" s="54"/>
      <c r="KEP75" s="11"/>
      <c r="KEQ75" s="14"/>
      <c r="KER75" s="113"/>
      <c r="KES75" s="114"/>
      <c r="KET75" s="115"/>
      <c r="KEU75" s="18"/>
      <c r="KEV75" s="52"/>
      <c r="KEW75" s="53"/>
      <c r="KEX75" s="54"/>
      <c r="KEY75" s="11"/>
      <c r="KEZ75" s="14"/>
      <c r="KFA75" s="113"/>
      <c r="KFB75" s="114"/>
      <c r="KFC75" s="115"/>
      <c r="KFD75" s="18"/>
      <c r="KFE75" s="52"/>
      <c r="KFF75" s="53"/>
      <c r="KFG75" s="54"/>
      <c r="KFH75" s="11"/>
      <c r="KFI75" s="14"/>
      <c r="KFJ75" s="113"/>
      <c r="KFK75" s="114"/>
      <c r="KFL75" s="115"/>
      <c r="KFM75" s="18"/>
      <c r="KFN75" s="52"/>
      <c r="KFO75" s="53"/>
      <c r="KFP75" s="54"/>
      <c r="KFQ75" s="11"/>
      <c r="KFR75" s="14"/>
      <c r="KFS75" s="113"/>
      <c r="KFT75" s="114"/>
      <c r="KFU75" s="115"/>
      <c r="KFV75" s="18"/>
      <c r="KFW75" s="52"/>
      <c r="KFX75" s="53"/>
      <c r="KFY75" s="54"/>
      <c r="KFZ75" s="11"/>
      <c r="KGA75" s="14"/>
      <c r="KGB75" s="113"/>
      <c r="KGC75" s="114"/>
      <c r="KGD75" s="115"/>
      <c r="KGE75" s="18"/>
      <c r="KGF75" s="52"/>
      <c r="KGG75" s="53"/>
      <c r="KGH75" s="54"/>
      <c r="KGI75" s="11"/>
      <c r="KGJ75" s="14"/>
      <c r="KGK75" s="113"/>
      <c r="KGL75" s="114"/>
      <c r="KGM75" s="115"/>
      <c r="KGN75" s="18"/>
      <c r="KGO75" s="52"/>
      <c r="KGP75" s="53"/>
      <c r="KGQ75" s="54"/>
      <c r="KGR75" s="11"/>
      <c r="KGS75" s="14"/>
      <c r="KGT75" s="113"/>
      <c r="KGU75" s="114"/>
      <c r="KGV75" s="115"/>
      <c r="KGW75" s="18"/>
      <c r="KGX75" s="52"/>
      <c r="KGY75" s="53"/>
      <c r="KGZ75" s="54"/>
      <c r="KHA75" s="11"/>
      <c r="KHB75" s="14"/>
      <c r="KHC75" s="113"/>
      <c r="KHD75" s="114"/>
      <c r="KHE75" s="115"/>
      <c r="KHF75" s="18"/>
      <c r="KHG75" s="52"/>
      <c r="KHH75" s="53"/>
      <c r="KHI75" s="54"/>
      <c r="KHJ75" s="11"/>
      <c r="KHK75" s="14"/>
      <c r="KHL75" s="113"/>
      <c r="KHM75" s="114"/>
      <c r="KHN75" s="115"/>
      <c r="KHO75" s="18"/>
      <c r="KHP75" s="52"/>
      <c r="KHQ75" s="53"/>
      <c r="KHR75" s="54"/>
      <c r="KHS75" s="11"/>
      <c r="KHT75" s="14"/>
      <c r="KHU75" s="113"/>
      <c r="KHV75" s="114"/>
      <c r="KHW75" s="115"/>
      <c r="KHX75" s="18"/>
      <c r="KHY75" s="52"/>
      <c r="KHZ75" s="53"/>
      <c r="KIA75" s="54"/>
      <c r="KIB75" s="11"/>
      <c r="KIC75" s="14"/>
      <c r="KID75" s="113"/>
      <c r="KIE75" s="114"/>
      <c r="KIF75" s="115"/>
      <c r="KIG75" s="18"/>
      <c r="KIH75" s="52"/>
      <c r="KII75" s="53"/>
      <c r="KIJ75" s="54"/>
      <c r="KIK75" s="11"/>
      <c r="KIL75" s="14"/>
      <c r="KIM75" s="113"/>
      <c r="KIN75" s="114"/>
      <c r="KIO75" s="115"/>
      <c r="KIP75" s="18"/>
      <c r="KIQ75" s="52"/>
      <c r="KIR75" s="53"/>
      <c r="KIS75" s="54"/>
      <c r="KIT75" s="11"/>
      <c r="KIU75" s="14"/>
      <c r="KIV75" s="113"/>
      <c r="KIW75" s="114"/>
      <c r="KIX75" s="115"/>
      <c r="KIY75" s="18"/>
      <c r="KIZ75" s="52"/>
      <c r="KJA75" s="53"/>
      <c r="KJB75" s="54"/>
      <c r="KJC75" s="11"/>
      <c r="KJD75" s="14"/>
      <c r="KJE75" s="113"/>
      <c r="KJF75" s="114"/>
      <c r="KJG75" s="115"/>
      <c r="KJH75" s="18"/>
      <c r="KJI75" s="52"/>
      <c r="KJJ75" s="53"/>
      <c r="KJK75" s="54"/>
      <c r="KJL75" s="11"/>
      <c r="KJM75" s="14"/>
      <c r="KJN75" s="113"/>
      <c r="KJO75" s="114"/>
      <c r="KJP75" s="115"/>
      <c r="KJQ75" s="18"/>
      <c r="KJR75" s="52"/>
      <c r="KJS75" s="53"/>
      <c r="KJT75" s="54"/>
      <c r="KJU75" s="11"/>
      <c r="KJV75" s="14"/>
      <c r="KJW75" s="113"/>
      <c r="KJX75" s="114"/>
      <c r="KJY75" s="115"/>
      <c r="KJZ75" s="18"/>
      <c r="KKA75" s="52"/>
      <c r="KKB75" s="53"/>
      <c r="KKC75" s="54"/>
      <c r="KKD75" s="11"/>
      <c r="KKE75" s="14"/>
      <c r="KKF75" s="113"/>
      <c r="KKG75" s="114"/>
      <c r="KKH75" s="115"/>
      <c r="KKI75" s="18"/>
      <c r="KKJ75" s="52"/>
      <c r="KKK75" s="53"/>
      <c r="KKL75" s="54"/>
      <c r="KKM75" s="11"/>
      <c r="KKN75" s="14"/>
      <c r="KKO75" s="113"/>
      <c r="KKP75" s="114"/>
      <c r="KKQ75" s="115"/>
      <c r="KKR75" s="18"/>
      <c r="KKS75" s="52"/>
      <c r="KKT75" s="53"/>
      <c r="KKU75" s="54"/>
      <c r="KKV75" s="11"/>
      <c r="KKW75" s="14"/>
      <c r="KKX75" s="113"/>
      <c r="KKY75" s="114"/>
      <c r="KKZ75" s="115"/>
      <c r="KLA75" s="18"/>
      <c r="KLB75" s="52"/>
      <c r="KLC75" s="53"/>
      <c r="KLD75" s="54"/>
      <c r="KLE75" s="11"/>
      <c r="KLF75" s="14"/>
      <c r="KLG75" s="113"/>
      <c r="KLH75" s="114"/>
      <c r="KLI75" s="115"/>
      <c r="KLJ75" s="18"/>
      <c r="KLK75" s="52"/>
      <c r="KLL75" s="53"/>
      <c r="KLM75" s="54"/>
      <c r="KLN75" s="11"/>
      <c r="KLO75" s="14"/>
      <c r="KLP75" s="113"/>
      <c r="KLQ75" s="114"/>
      <c r="KLR75" s="115"/>
      <c r="KLS75" s="18"/>
      <c r="KLT75" s="52"/>
      <c r="KLU75" s="53"/>
      <c r="KLV75" s="54"/>
      <c r="KLW75" s="11"/>
      <c r="KLX75" s="14"/>
      <c r="KLY75" s="113"/>
      <c r="KLZ75" s="114"/>
      <c r="KMA75" s="115"/>
      <c r="KMB75" s="18"/>
      <c r="KMC75" s="52"/>
      <c r="KMD75" s="53"/>
      <c r="KME75" s="54"/>
      <c r="KMF75" s="11"/>
      <c r="KMG75" s="14"/>
      <c r="KMH75" s="113"/>
      <c r="KMI75" s="114"/>
      <c r="KMJ75" s="115"/>
      <c r="KMK75" s="18"/>
      <c r="KML75" s="52"/>
      <c r="KMM75" s="53"/>
      <c r="KMN75" s="54"/>
      <c r="KMO75" s="11"/>
      <c r="KMP75" s="14"/>
      <c r="KMQ75" s="113"/>
      <c r="KMR75" s="114"/>
      <c r="KMS75" s="115"/>
      <c r="KMT75" s="18"/>
      <c r="KMU75" s="52"/>
      <c r="KMV75" s="53"/>
      <c r="KMW75" s="54"/>
      <c r="KMX75" s="11"/>
      <c r="KMY75" s="14"/>
      <c r="KMZ75" s="113"/>
      <c r="KNA75" s="114"/>
      <c r="KNB75" s="115"/>
      <c r="KNC75" s="18"/>
      <c r="KND75" s="52"/>
      <c r="KNE75" s="53"/>
      <c r="KNF75" s="54"/>
      <c r="KNG75" s="11"/>
      <c r="KNH75" s="14"/>
      <c r="KNI75" s="113"/>
      <c r="KNJ75" s="114"/>
      <c r="KNK75" s="115"/>
      <c r="KNL75" s="18"/>
      <c r="KNM75" s="52"/>
      <c r="KNN75" s="53"/>
      <c r="KNO75" s="54"/>
      <c r="KNP75" s="11"/>
      <c r="KNQ75" s="14"/>
      <c r="KNR75" s="113"/>
      <c r="KNS75" s="114"/>
      <c r="KNT75" s="115"/>
      <c r="KNU75" s="18"/>
      <c r="KNV75" s="52"/>
      <c r="KNW75" s="53"/>
      <c r="KNX75" s="54"/>
      <c r="KNY75" s="11"/>
      <c r="KNZ75" s="14"/>
      <c r="KOA75" s="113"/>
      <c r="KOB75" s="114"/>
      <c r="KOC75" s="115"/>
      <c r="KOD75" s="18"/>
      <c r="KOE75" s="52"/>
      <c r="KOF75" s="53"/>
      <c r="KOG75" s="54"/>
      <c r="KOH75" s="11"/>
      <c r="KOI75" s="14"/>
      <c r="KOJ75" s="113"/>
      <c r="KOK75" s="114"/>
      <c r="KOL75" s="115"/>
      <c r="KOM75" s="18"/>
      <c r="KON75" s="52"/>
      <c r="KOO75" s="53"/>
      <c r="KOP75" s="54"/>
      <c r="KOQ75" s="11"/>
      <c r="KOR75" s="14"/>
      <c r="KOS75" s="113"/>
      <c r="KOT75" s="114"/>
      <c r="KOU75" s="115"/>
      <c r="KOV75" s="18"/>
      <c r="KOW75" s="52"/>
      <c r="KOX75" s="53"/>
      <c r="KOY75" s="54"/>
      <c r="KOZ75" s="11"/>
      <c r="KPA75" s="14"/>
      <c r="KPB75" s="113"/>
      <c r="KPC75" s="114"/>
      <c r="KPD75" s="115"/>
      <c r="KPE75" s="18"/>
      <c r="KPF75" s="52"/>
      <c r="KPG75" s="53"/>
      <c r="KPH75" s="54"/>
      <c r="KPI75" s="11"/>
      <c r="KPJ75" s="14"/>
      <c r="KPK75" s="113"/>
      <c r="KPL75" s="114"/>
      <c r="KPM75" s="115"/>
      <c r="KPN75" s="18"/>
      <c r="KPO75" s="52"/>
      <c r="KPP75" s="53"/>
      <c r="KPQ75" s="54"/>
      <c r="KPR75" s="11"/>
      <c r="KPS75" s="14"/>
      <c r="KPT75" s="113"/>
      <c r="KPU75" s="114"/>
      <c r="KPV75" s="115"/>
      <c r="KPW75" s="18"/>
      <c r="KPX75" s="52"/>
      <c r="KPY75" s="53"/>
      <c r="KPZ75" s="54"/>
      <c r="KQA75" s="11"/>
      <c r="KQB75" s="14"/>
      <c r="KQC75" s="113"/>
      <c r="KQD75" s="114"/>
      <c r="KQE75" s="115"/>
      <c r="KQF75" s="18"/>
      <c r="KQG75" s="52"/>
      <c r="KQH75" s="53"/>
      <c r="KQI75" s="54"/>
      <c r="KQJ75" s="11"/>
      <c r="KQK75" s="14"/>
      <c r="KQL75" s="113"/>
      <c r="KQM75" s="114"/>
      <c r="KQN75" s="115"/>
      <c r="KQO75" s="18"/>
      <c r="KQP75" s="52"/>
      <c r="KQQ75" s="53"/>
      <c r="KQR75" s="54"/>
      <c r="KQS75" s="11"/>
      <c r="KQT75" s="14"/>
      <c r="KQU75" s="113"/>
      <c r="KQV75" s="114"/>
      <c r="KQW75" s="115"/>
      <c r="KQX75" s="18"/>
      <c r="KQY75" s="52"/>
      <c r="KQZ75" s="53"/>
      <c r="KRA75" s="54"/>
      <c r="KRB75" s="11"/>
      <c r="KRC75" s="14"/>
      <c r="KRD75" s="113"/>
      <c r="KRE75" s="114"/>
      <c r="KRF75" s="115"/>
      <c r="KRG75" s="18"/>
      <c r="KRH75" s="52"/>
      <c r="KRI75" s="53"/>
      <c r="KRJ75" s="54"/>
      <c r="KRK75" s="11"/>
      <c r="KRL75" s="14"/>
      <c r="KRM75" s="113"/>
      <c r="KRN75" s="114"/>
      <c r="KRO75" s="115"/>
      <c r="KRP75" s="18"/>
      <c r="KRQ75" s="52"/>
      <c r="KRR75" s="53"/>
      <c r="KRS75" s="54"/>
      <c r="KRT75" s="11"/>
      <c r="KRU75" s="14"/>
      <c r="KRV75" s="113"/>
      <c r="KRW75" s="114"/>
      <c r="KRX75" s="115"/>
      <c r="KRY75" s="18"/>
      <c r="KRZ75" s="52"/>
      <c r="KSA75" s="53"/>
      <c r="KSB75" s="54"/>
      <c r="KSC75" s="11"/>
      <c r="KSD75" s="14"/>
      <c r="KSE75" s="113"/>
      <c r="KSF75" s="114"/>
      <c r="KSG75" s="115"/>
      <c r="KSH75" s="18"/>
      <c r="KSI75" s="52"/>
      <c r="KSJ75" s="53"/>
      <c r="KSK75" s="54"/>
      <c r="KSL75" s="11"/>
      <c r="KSM75" s="14"/>
      <c r="KSN75" s="113"/>
      <c r="KSO75" s="114"/>
      <c r="KSP75" s="115"/>
      <c r="KSQ75" s="18"/>
      <c r="KSR75" s="52"/>
      <c r="KSS75" s="53"/>
      <c r="KST75" s="54"/>
      <c r="KSU75" s="11"/>
      <c r="KSV75" s="14"/>
      <c r="KSW75" s="113"/>
      <c r="KSX75" s="114"/>
      <c r="KSY75" s="115"/>
      <c r="KSZ75" s="18"/>
      <c r="KTA75" s="52"/>
      <c r="KTB75" s="53"/>
      <c r="KTC75" s="54"/>
      <c r="KTD75" s="11"/>
      <c r="KTE75" s="14"/>
      <c r="KTF75" s="113"/>
      <c r="KTG75" s="114"/>
      <c r="KTH75" s="115"/>
      <c r="KTI75" s="18"/>
      <c r="KTJ75" s="52"/>
      <c r="KTK75" s="53"/>
      <c r="KTL75" s="54"/>
      <c r="KTM75" s="11"/>
      <c r="KTN75" s="14"/>
      <c r="KTO75" s="113"/>
      <c r="KTP75" s="114"/>
      <c r="KTQ75" s="115"/>
      <c r="KTR75" s="18"/>
      <c r="KTS75" s="52"/>
      <c r="KTT75" s="53"/>
      <c r="KTU75" s="54"/>
      <c r="KTV75" s="11"/>
      <c r="KTW75" s="14"/>
      <c r="KTX75" s="113"/>
      <c r="KTY75" s="114"/>
      <c r="KTZ75" s="115"/>
      <c r="KUA75" s="18"/>
      <c r="KUB75" s="52"/>
      <c r="KUC75" s="53"/>
      <c r="KUD75" s="54"/>
      <c r="KUE75" s="11"/>
      <c r="KUF75" s="14"/>
      <c r="KUG75" s="113"/>
      <c r="KUH75" s="114"/>
      <c r="KUI75" s="115"/>
      <c r="KUJ75" s="18"/>
      <c r="KUK75" s="52"/>
      <c r="KUL75" s="53"/>
      <c r="KUM75" s="54"/>
      <c r="KUN75" s="11"/>
      <c r="KUO75" s="14"/>
      <c r="KUP75" s="113"/>
      <c r="KUQ75" s="114"/>
      <c r="KUR75" s="115"/>
      <c r="KUS75" s="18"/>
      <c r="KUT75" s="52"/>
      <c r="KUU75" s="53"/>
      <c r="KUV75" s="54"/>
      <c r="KUW75" s="11"/>
      <c r="KUX75" s="14"/>
      <c r="KUY75" s="113"/>
      <c r="KUZ75" s="114"/>
      <c r="KVA75" s="115"/>
      <c r="KVB75" s="18"/>
      <c r="KVC75" s="52"/>
      <c r="KVD75" s="53"/>
      <c r="KVE75" s="54"/>
      <c r="KVF75" s="11"/>
      <c r="KVG75" s="14"/>
      <c r="KVH75" s="113"/>
      <c r="KVI75" s="114"/>
      <c r="KVJ75" s="115"/>
      <c r="KVK75" s="18"/>
      <c r="KVL75" s="52"/>
      <c r="KVM75" s="53"/>
      <c r="KVN75" s="54"/>
      <c r="KVO75" s="11"/>
      <c r="KVP75" s="14"/>
      <c r="KVQ75" s="113"/>
      <c r="KVR75" s="114"/>
      <c r="KVS75" s="115"/>
      <c r="KVT75" s="18"/>
      <c r="KVU75" s="52"/>
      <c r="KVV75" s="53"/>
      <c r="KVW75" s="54"/>
      <c r="KVX75" s="11"/>
      <c r="KVY75" s="14"/>
      <c r="KVZ75" s="113"/>
      <c r="KWA75" s="114"/>
      <c r="KWB75" s="115"/>
      <c r="KWC75" s="18"/>
      <c r="KWD75" s="52"/>
      <c r="KWE75" s="53"/>
      <c r="KWF75" s="54"/>
      <c r="KWG75" s="11"/>
      <c r="KWH75" s="14"/>
      <c r="KWI75" s="113"/>
      <c r="KWJ75" s="114"/>
      <c r="KWK75" s="115"/>
      <c r="KWL75" s="18"/>
      <c r="KWM75" s="52"/>
      <c r="KWN75" s="53"/>
      <c r="KWO75" s="54"/>
      <c r="KWP75" s="11"/>
      <c r="KWQ75" s="14"/>
      <c r="KWR75" s="113"/>
      <c r="KWS75" s="114"/>
      <c r="KWT75" s="115"/>
      <c r="KWU75" s="18"/>
      <c r="KWV75" s="52"/>
      <c r="KWW75" s="53"/>
      <c r="KWX75" s="54"/>
      <c r="KWY75" s="11"/>
      <c r="KWZ75" s="14"/>
      <c r="KXA75" s="113"/>
      <c r="KXB75" s="114"/>
      <c r="KXC75" s="115"/>
      <c r="KXD75" s="18"/>
      <c r="KXE75" s="52"/>
      <c r="KXF75" s="53"/>
      <c r="KXG75" s="54"/>
      <c r="KXH75" s="11"/>
      <c r="KXI75" s="14"/>
      <c r="KXJ75" s="113"/>
      <c r="KXK75" s="114"/>
      <c r="KXL75" s="115"/>
      <c r="KXM75" s="18"/>
      <c r="KXN75" s="52"/>
      <c r="KXO75" s="53"/>
      <c r="KXP75" s="54"/>
      <c r="KXQ75" s="11"/>
      <c r="KXR75" s="14"/>
      <c r="KXS75" s="113"/>
      <c r="KXT75" s="114"/>
      <c r="KXU75" s="115"/>
      <c r="KXV75" s="18"/>
      <c r="KXW75" s="52"/>
      <c r="KXX75" s="53"/>
      <c r="KXY75" s="54"/>
      <c r="KXZ75" s="11"/>
      <c r="KYA75" s="14"/>
      <c r="KYB75" s="113"/>
      <c r="KYC75" s="114"/>
      <c r="KYD75" s="115"/>
      <c r="KYE75" s="18"/>
      <c r="KYF75" s="52"/>
      <c r="KYG75" s="53"/>
      <c r="KYH75" s="54"/>
      <c r="KYI75" s="11"/>
      <c r="KYJ75" s="14"/>
      <c r="KYK75" s="113"/>
      <c r="KYL75" s="114"/>
      <c r="KYM75" s="115"/>
      <c r="KYN75" s="18"/>
      <c r="KYO75" s="52"/>
      <c r="KYP75" s="53"/>
      <c r="KYQ75" s="54"/>
      <c r="KYR75" s="11"/>
      <c r="KYS75" s="14"/>
      <c r="KYT75" s="113"/>
      <c r="KYU75" s="114"/>
      <c r="KYV75" s="115"/>
      <c r="KYW75" s="18"/>
      <c r="KYX75" s="52"/>
      <c r="KYY75" s="53"/>
      <c r="KYZ75" s="54"/>
      <c r="KZA75" s="11"/>
      <c r="KZB75" s="14"/>
      <c r="KZC75" s="113"/>
      <c r="KZD75" s="114"/>
      <c r="KZE75" s="115"/>
      <c r="KZF75" s="18"/>
      <c r="KZG75" s="52"/>
      <c r="KZH75" s="53"/>
      <c r="KZI75" s="54"/>
      <c r="KZJ75" s="11"/>
      <c r="KZK75" s="14"/>
      <c r="KZL75" s="113"/>
      <c r="KZM75" s="114"/>
      <c r="KZN75" s="115"/>
      <c r="KZO75" s="18"/>
      <c r="KZP75" s="52"/>
      <c r="KZQ75" s="53"/>
      <c r="KZR75" s="54"/>
      <c r="KZS75" s="11"/>
      <c r="KZT75" s="14"/>
      <c r="KZU75" s="113"/>
      <c r="KZV75" s="114"/>
      <c r="KZW75" s="115"/>
      <c r="KZX75" s="18"/>
      <c r="KZY75" s="52"/>
      <c r="KZZ75" s="53"/>
      <c r="LAA75" s="54"/>
      <c r="LAB75" s="11"/>
      <c r="LAC75" s="14"/>
      <c r="LAD75" s="113"/>
      <c r="LAE75" s="114"/>
      <c r="LAF75" s="115"/>
      <c r="LAG75" s="18"/>
      <c r="LAH75" s="52"/>
      <c r="LAI75" s="53"/>
      <c r="LAJ75" s="54"/>
      <c r="LAK75" s="11"/>
      <c r="LAL75" s="14"/>
      <c r="LAM75" s="113"/>
      <c r="LAN75" s="114"/>
      <c r="LAO75" s="115"/>
      <c r="LAP75" s="18"/>
      <c r="LAQ75" s="52"/>
      <c r="LAR75" s="53"/>
      <c r="LAS75" s="54"/>
      <c r="LAT75" s="11"/>
      <c r="LAU75" s="14"/>
      <c r="LAV75" s="113"/>
      <c r="LAW75" s="114"/>
      <c r="LAX75" s="115"/>
      <c r="LAY75" s="18"/>
      <c r="LAZ75" s="52"/>
      <c r="LBA75" s="53"/>
      <c r="LBB75" s="54"/>
      <c r="LBC75" s="11"/>
      <c r="LBD75" s="14"/>
      <c r="LBE75" s="113"/>
      <c r="LBF75" s="114"/>
      <c r="LBG75" s="115"/>
      <c r="LBH75" s="18"/>
      <c r="LBI75" s="52"/>
      <c r="LBJ75" s="53"/>
      <c r="LBK75" s="54"/>
      <c r="LBL75" s="11"/>
      <c r="LBM75" s="14"/>
      <c r="LBN75" s="113"/>
      <c r="LBO75" s="114"/>
      <c r="LBP75" s="115"/>
      <c r="LBQ75" s="18"/>
      <c r="LBR75" s="52"/>
      <c r="LBS75" s="53"/>
      <c r="LBT75" s="54"/>
      <c r="LBU75" s="11"/>
      <c r="LBV75" s="14"/>
      <c r="LBW75" s="113"/>
      <c r="LBX75" s="114"/>
      <c r="LBY75" s="115"/>
      <c r="LBZ75" s="18"/>
      <c r="LCA75" s="52"/>
      <c r="LCB75" s="53"/>
      <c r="LCC75" s="54"/>
      <c r="LCD75" s="11"/>
      <c r="LCE75" s="14"/>
      <c r="LCF75" s="113"/>
      <c r="LCG75" s="114"/>
      <c r="LCH75" s="115"/>
      <c r="LCI75" s="18"/>
      <c r="LCJ75" s="52"/>
      <c r="LCK75" s="53"/>
      <c r="LCL75" s="54"/>
      <c r="LCM75" s="11"/>
      <c r="LCN75" s="14"/>
      <c r="LCO75" s="113"/>
      <c r="LCP75" s="114"/>
      <c r="LCQ75" s="115"/>
      <c r="LCR75" s="18"/>
      <c r="LCS75" s="52"/>
      <c r="LCT75" s="53"/>
      <c r="LCU75" s="54"/>
      <c r="LCV75" s="11"/>
      <c r="LCW75" s="14"/>
      <c r="LCX75" s="113"/>
      <c r="LCY75" s="114"/>
      <c r="LCZ75" s="115"/>
      <c r="LDA75" s="18"/>
      <c r="LDB75" s="52"/>
      <c r="LDC75" s="53"/>
      <c r="LDD75" s="54"/>
      <c r="LDE75" s="11"/>
      <c r="LDF75" s="14"/>
      <c r="LDG75" s="113"/>
      <c r="LDH75" s="114"/>
      <c r="LDI75" s="115"/>
      <c r="LDJ75" s="18"/>
      <c r="LDK75" s="52"/>
      <c r="LDL75" s="53"/>
      <c r="LDM75" s="54"/>
      <c r="LDN75" s="11"/>
      <c r="LDO75" s="14"/>
      <c r="LDP75" s="113"/>
      <c r="LDQ75" s="114"/>
      <c r="LDR75" s="115"/>
      <c r="LDS75" s="18"/>
      <c r="LDT75" s="52"/>
      <c r="LDU75" s="53"/>
      <c r="LDV75" s="54"/>
      <c r="LDW75" s="11"/>
      <c r="LDX75" s="14"/>
      <c r="LDY75" s="113"/>
      <c r="LDZ75" s="114"/>
      <c r="LEA75" s="115"/>
      <c r="LEB75" s="18"/>
      <c r="LEC75" s="52"/>
      <c r="LED75" s="53"/>
      <c r="LEE75" s="54"/>
      <c r="LEF75" s="11"/>
      <c r="LEG75" s="14"/>
      <c r="LEH75" s="113"/>
      <c r="LEI75" s="114"/>
      <c r="LEJ75" s="115"/>
      <c r="LEK75" s="18"/>
      <c r="LEL75" s="52"/>
      <c r="LEM75" s="53"/>
      <c r="LEN75" s="54"/>
      <c r="LEO75" s="11"/>
      <c r="LEP75" s="14"/>
      <c r="LEQ75" s="113"/>
      <c r="LER75" s="114"/>
      <c r="LES75" s="115"/>
      <c r="LET75" s="18"/>
      <c r="LEU75" s="52"/>
      <c r="LEV75" s="53"/>
      <c r="LEW75" s="54"/>
      <c r="LEX75" s="11"/>
      <c r="LEY75" s="14"/>
      <c r="LEZ75" s="113"/>
      <c r="LFA75" s="114"/>
      <c r="LFB75" s="115"/>
      <c r="LFC75" s="18"/>
      <c r="LFD75" s="52"/>
      <c r="LFE75" s="53"/>
      <c r="LFF75" s="54"/>
      <c r="LFG75" s="11"/>
      <c r="LFH75" s="14"/>
      <c r="LFI75" s="113"/>
      <c r="LFJ75" s="114"/>
      <c r="LFK75" s="115"/>
      <c r="LFL75" s="18"/>
      <c r="LFM75" s="52"/>
      <c r="LFN75" s="53"/>
      <c r="LFO75" s="54"/>
      <c r="LFP75" s="11"/>
      <c r="LFQ75" s="14"/>
      <c r="LFR75" s="113"/>
      <c r="LFS75" s="114"/>
      <c r="LFT75" s="115"/>
      <c r="LFU75" s="18"/>
      <c r="LFV75" s="52"/>
      <c r="LFW75" s="53"/>
      <c r="LFX75" s="54"/>
      <c r="LFY75" s="11"/>
      <c r="LFZ75" s="14"/>
      <c r="LGA75" s="113"/>
      <c r="LGB75" s="114"/>
      <c r="LGC75" s="115"/>
      <c r="LGD75" s="18"/>
      <c r="LGE75" s="52"/>
      <c r="LGF75" s="53"/>
      <c r="LGG75" s="54"/>
      <c r="LGH75" s="11"/>
      <c r="LGI75" s="14"/>
      <c r="LGJ75" s="113"/>
      <c r="LGK75" s="114"/>
      <c r="LGL75" s="115"/>
      <c r="LGM75" s="18"/>
      <c r="LGN75" s="52"/>
      <c r="LGO75" s="53"/>
      <c r="LGP75" s="54"/>
      <c r="LGQ75" s="11"/>
      <c r="LGR75" s="14"/>
      <c r="LGS75" s="113"/>
      <c r="LGT75" s="114"/>
      <c r="LGU75" s="115"/>
      <c r="LGV75" s="18"/>
      <c r="LGW75" s="52"/>
      <c r="LGX75" s="53"/>
      <c r="LGY75" s="54"/>
      <c r="LGZ75" s="11"/>
      <c r="LHA75" s="14"/>
      <c r="LHB75" s="113"/>
      <c r="LHC75" s="114"/>
      <c r="LHD75" s="115"/>
      <c r="LHE75" s="18"/>
      <c r="LHF75" s="52"/>
      <c r="LHG75" s="53"/>
      <c r="LHH75" s="54"/>
      <c r="LHI75" s="11"/>
      <c r="LHJ75" s="14"/>
      <c r="LHK75" s="113"/>
      <c r="LHL75" s="114"/>
      <c r="LHM75" s="115"/>
      <c r="LHN75" s="18"/>
      <c r="LHO75" s="52"/>
      <c r="LHP75" s="53"/>
      <c r="LHQ75" s="54"/>
      <c r="LHR75" s="11"/>
      <c r="LHS75" s="14"/>
      <c r="LHT75" s="113"/>
      <c r="LHU75" s="114"/>
      <c r="LHV75" s="115"/>
      <c r="LHW75" s="18"/>
      <c r="LHX75" s="52"/>
      <c r="LHY75" s="53"/>
      <c r="LHZ75" s="54"/>
      <c r="LIA75" s="11"/>
      <c r="LIB75" s="14"/>
      <c r="LIC75" s="113"/>
      <c r="LID75" s="114"/>
      <c r="LIE75" s="115"/>
      <c r="LIF75" s="18"/>
      <c r="LIG75" s="52"/>
      <c r="LIH75" s="53"/>
      <c r="LII75" s="54"/>
      <c r="LIJ75" s="11"/>
      <c r="LIK75" s="14"/>
      <c r="LIL75" s="113"/>
      <c r="LIM75" s="114"/>
      <c r="LIN75" s="115"/>
      <c r="LIO75" s="18"/>
      <c r="LIP75" s="52"/>
      <c r="LIQ75" s="53"/>
      <c r="LIR75" s="54"/>
      <c r="LIS75" s="11"/>
      <c r="LIT75" s="14"/>
      <c r="LIU75" s="113"/>
      <c r="LIV75" s="114"/>
      <c r="LIW75" s="115"/>
      <c r="LIX75" s="18"/>
      <c r="LIY75" s="52"/>
      <c r="LIZ75" s="53"/>
      <c r="LJA75" s="54"/>
      <c r="LJB75" s="11"/>
      <c r="LJC75" s="14"/>
      <c r="LJD75" s="113"/>
      <c r="LJE75" s="114"/>
      <c r="LJF75" s="115"/>
      <c r="LJG75" s="18"/>
      <c r="LJH75" s="52"/>
      <c r="LJI75" s="53"/>
      <c r="LJJ75" s="54"/>
      <c r="LJK75" s="11"/>
      <c r="LJL75" s="14"/>
      <c r="LJM75" s="113"/>
      <c r="LJN75" s="114"/>
      <c r="LJO75" s="115"/>
      <c r="LJP75" s="18"/>
      <c r="LJQ75" s="52"/>
      <c r="LJR75" s="53"/>
      <c r="LJS75" s="54"/>
      <c r="LJT75" s="11"/>
      <c r="LJU75" s="14"/>
      <c r="LJV75" s="113"/>
      <c r="LJW75" s="114"/>
      <c r="LJX75" s="115"/>
      <c r="LJY75" s="18"/>
      <c r="LJZ75" s="52"/>
      <c r="LKA75" s="53"/>
      <c r="LKB75" s="54"/>
      <c r="LKC75" s="11"/>
      <c r="LKD75" s="14"/>
      <c r="LKE75" s="113"/>
      <c r="LKF75" s="114"/>
      <c r="LKG75" s="115"/>
      <c r="LKH75" s="18"/>
      <c r="LKI75" s="52"/>
      <c r="LKJ75" s="53"/>
      <c r="LKK75" s="54"/>
      <c r="LKL75" s="11"/>
      <c r="LKM75" s="14"/>
      <c r="LKN75" s="113"/>
      <c r="LKO75" s="114"/>
      <c r="LKP75" s="115"/>
      <c r="LKQ75" s="18"/>
      <c r="LKR75" s="52"/>
      <c r="LKS75" s="53"/>
      <c r="LKT75" s="54"/>
      <c r="LKU75" s="11"/>
      <c r="LKV75" s="14"/>
      <c r="LKW75" s="113"/>
      <c r="LKX75" s="114"/>
      <c r="LKY75" s="115"/>
      <c r="LKZ75" s="18"/>
      <c r="LLA75" s="52"/>
      <c r="LLB75" s="53"/>
      <c r="LLC75" s="54"/>
      <c r="LLD75" s="11"/>
      <c r="LLE75" s="14"/>
      <c r="LLF75" s="113"/>
      <c r="LLG75" s="114"/>
      <c r="LLH75" s="115"/>
      <c r="LLI75" s="18"/>
      <c r="LLJ75" s="52"/>
      <c r="LLK75" s="53"/>
      <c r="LLL75" s="54"/>
      <c r="LLM75" s="11"/>
      <c r="LLN75" s="14"/>
      <c r="LLO75" s="113"/>
      <c r="LLP75" s="114"/>
      <c r="LLQ75" s="115"/>
      <c r="LLR75" s="18"/>
      <c r="LLS75" s="52"/>
      <c r="LLT75" s="53"/>
      <c r="LLU75" s="54"/>
      <c r="LLV75" s="11"/>
      <c r="LLW75" s="14"/>
      <c r="LLX75" s="113"/>
      <c r="LLY75" s="114"/>
      <c r="LLZ75" s="115"/>
      <c r="LMA75" s="18"/>
      <c r="LMB75" s="52"/>
      <c r="LMC75" s="53"/>
      <c r="LMD75" s="54"/>
      <c r="LME75" s="11"/>
      <c r="LMF75" s="14"/>
      <c r="LMG75" s="113"/>
      <c r="LMH75" s="114"/>
      <c r="LMI75" s="115"/>
      <c r="LMJ75" s="18"/>
      <c r="LMK75" s="52"/>
      <c r="LML75" s="53"/>
      <c r="LMM75" s="54"/>
      <c r="LMN75" s="11"/>
      <c r="LMO75" s="14"/>
      <c r="LMP75" s="113"/>
      <c r="LMQ75" s="114"/>
      <c r="LMR75" s="115"/>
      <c r="LMS75" s="18"/>
      <c r="LMT75" s="52"/>
      <c r="LMU75" s="53"/>
      <c r="LMV75" s="54"/>
      <c r="LMW75" s="11"/>
      <c r="LMX75" s="14"/>
      <c r="LMY75" s="113"/>
      <c r="LMZ75" s="114"/>
      <c r="LNA75" s="115"/>
      <c r="LNB75" s="18"/>
      <c r="LNC75" s="52"/>
      <c r="LND75" s="53"/>
      <c r="LNE75" s="54"/>
      <c r="LNF75" s="11"/>
      <c r="LNG75" s="14"/>
      <c r="LNH75" s="113"/>
      <c r="LNI75" s="114"/>
      <c r="LNJ75" s="115"/>
      <c r="LNK75" s="18"/>
      <c r="LNL75" s="52"/>
      <c r="LNM75" s="53"/>
      <c r="LNN75" s="54"/>
      <c r="LNO75" s="11"/>
      <c r="LNP75" s="14"/>
      <c r="LNQ75" s="113"/>
      <c r="LNR75" s="114"/>
      <c r="LNS75" s="115"/>
      <c r="LNT75" s="18"/>
      <c r="LNU75" s="52"/>
      <c r="LNV75" s="53"/>
      <c r="LNW75" s="54"/>
      <c r="LNX75" s="11"/>
      <c r="LNY75" s="14"/>
      <c r="LNZ75" s="113"/>
      <c r="LOA75" s="114"/>
      <c r="LOB75" s="115"/>
      <c r="LOC75" s="18"/>
      <c r="LOD75" s="52"/>
      <c r="LOE75" s="53"/>
      <c r="LOF75" s="54"/>
      <c r="LOG75" s="11"/>
      <c r="LOH75" s="14"/>
      <c r="LOI75" s="113"/>
      <c r="LOJ75" s="114"/>
      <c r="LOK75" s="115"/>
      <c r="LOL75" s="18"/>
      <c r="LOM75" s="52"/>
      <c r="LON75" s="53"/>
      <c r="LOO75" s="54"/>
      <c r="LOP75" s="11"/>
      <c r="LOQ75" s="14"/>
      <c r="LOR75" s="113"/>
      <c r="LOS75" s="114"/>
      <c r="LOT75" s="115"/>
      <c r="LOU75" s="18"/>
      <c r="LOV75" s="52"/>
      <c r="LOW75" s="53"/>
      <c r="LOX75" s="54"/>
      <c r="LOY75" s="11"/>
      <c r="LOZ75" s="14"/>
      <c r="LPA75" s="113"/>
      <c r="LPB75" s="114"/>
      <c r="LPC75" s="115"/>
      <c r="LPD75" s="18"/>
      <c r="LPE75" s="52"/>
      <c r="LPF75" s="53"/>
      <c r="LPG75" s="54"/>
      <c r="LPH75" s="11"/>
      <c r="LPI75" s="14"/>
      <c r="LPJ75" s="113"/>
      <c r="LPK75" s="114"/>
      <c r="LPL75" s="115"/>
      <c r="LPM75" s="18"/>
      <c r="LPN75" s="52"/>
      <c r="LPO75" s="53"/>
      <c r="LPP75" s="54"/>
      <c r="LPQ75" s="11"/>
      <c r="LPR75" s="14"/>
      <c r="LPS75" s="113"/>
      <c r="LPT75" s="114"/>
      <c r="LPU75" s="115"/>
      <c r="LPV75" s="18"/>
      <c r="LPW75" s="52"/>
      <c r="LPX75" s="53"/>
      <c r="LPY75" s="54"/>
      <c r="LPZ75" s="11"/>
      <c r="LQA75" s="14"/>
      <c r="LQB75" s="113"/>
      <c r="LQC75" s="114"/>
      <c r="LQD75" s="115"/>
      <c r="LQE75" s="18"/>
      <c r="LQF75" s="52"/>
      <c r="LQG75" s="53"/>
      <c r="LQH75" s="54"/>
      <c r="LQI75" s="11"/>
      <c r="LQJ75" s="14"/>
      <c r="LQK75" s="113"/>
      <c r="LQL75" s="114"/>
      <c r="LQM75" s="115"/>
      <c r="LQN75" s="18"/>
      <c r="LQO75" s="52"/>
      <c r="LQP75" s="53"/>
      <c r="LQQ75" s="54"/>
      <c r="LQR75" s="11"/>
      <c r="LQS75" s="14"/>
      <c r="LQT75" s="113"/>
      <c r="LQU75" s="114"/>
      <c r="LQV75" s="115"/>
      <c r="LQW75" s="18"/>
      <c r="LQX75" s="52"/>
      <c r="LQY75" s="53"/>
      <c r="LQZ75" s="54"/>
      <c r="LRA75" s="11"/>
      <c r="LRB75" s="14"/>
      <c r="LRC75" s="113"/>
      <c r="LRD75" s="114"/>
      <c r="LRE75" s="115"/>
      <c r="LRF75" s="18"/>
      <c r="LRG75" s="52"/>
      <c r="LRH75" s="53"/>
      <c r="LRI75" s="54"/>
      <c r="LRJ75" s="11"/>
      <c r="LRK75" s="14"/>
      <c r="LRL75" s="113"/>
      <c r="LRM75" s="114"/>
      <c r="LRN75" s="115"/>
      <c r="LRO75" s="18"/>
      <c r="LRP75" s="52"/>
      <c r="LRQ75" s="53"/>
      <c r="LRR75" s="54"/>
      <c r="LRS75" s="11"/>
      <c r="LRT75" s="14"/>
      <c r="LRU75" s="113"/>
      <c r="LRV75" s="114"/>
      <c r="LRW75" s="115"/>
      <c r="LRX75" s="18"/>
      <c r="LRY75" s="52"/>
      <c r="LRZ75" s="53"/>
      <c r="LSA75" s="54"/>
      <c r="LSB75" s="11"/>
      <c r="LSC75" s="14"/>
      <c r="LSD75" s="113"/>
      <c r="LSE75" s="114"/>
      <c r="LSF75" s="115"/>
      <c r="LSG75" s="18"/>
      <c r="LSH75" s="52"/>
      <c r="LSI75" s="53"/>
      <c r="LSJ75" s="54"/>
      <c r="LSK75" s="11"/>
      <c r="LSL75" s="14"/>
      <c r="LSM75" s="113"/>
      <c r="LSN75" s="114"/>
      <c r="LSO75" s="115"/>
      <c r="LSP75" s="18"/>
      <c r="LSQ75" s="52"/>
      <c r="LSR75" s="53"/>
      <c r="LSS75" s="54"/>
      <c r="LST75" s="11"/>
      <c r="LSU75" s="14"/>
      <c r="LSV75" s="113"/>
      <c r="LSW75" s="114"/>
      <c r="LSX75" s="115"/>
      <c r="LSY75" s="18"/>
      <c r="LSZ75" s="52"/>
      <c r="LTA75" s="53"/>
      <c r="LTB75" s="54"/>
      <c r="LTC75" s="11"/>
      <c r="LTD75" s="14"/>
      <c r="LTE75" s="113"/>
      <c r="LTF75" s="114"/>
      <c r="LTG75" s="115"/>
      <c r="LTH75" s="18"/>
      <c r="LTI75" s="52"/>
      <c r="LTJ75" s="53"/>
      <c r="LTK75" s="54"/>
      <c r="LTL75" s="11"/>
      <c r="LTM75" s="14"/>
      <c r="LTN75" s="113"/>
      <c r="LTO75" s="114"/>
      <c r="LTP75" s="115"/>
      <c r="LTQ75" s="18"/>
      <c r="LTR75" s="52"/>
      <c r="LTS75" s="53"/>
      <c r="LTT75" s="54"/>
      <c r="LTU75" s="11"/>
      <c r="LTV75" s="14"/>
      <c r="LTW75" s="113"/>
      <c r="LTX75" s="114"/>
      <c r="LTY75" s="115"/>
      <c r="LTZ75" s="18"/>
      <c r="LUA75" s="52"/>
      <c r="LUB75" s="53"/>
      <c r="LUC75" s="54"/>
      <c r="LUD75" s="11"/>
      <c r="LUE75" s="14"/>
      <c r="LUF75" s="113"/>
      <c r="LUG75" s="114"/>
      <c r="LUH75" s="115"/>
      <c r="LUI75" s="18"/>
      <c r="LUJ75" s="52"/>
      <c r="LUK75" s="53"/>
      <c r="LUL75" s="54"/>
      <c r="LUM75" s="11"/>
      <c r="LUN75" s="14"/>
      <c r="LUO75" s="113"/>
      <c r="LUP75" s="114"/>
      <c r="LUQ75" s="115"/>
      <c r="LUR75" s="18"/>
      <c r="LUS75" s="52"/>
      <c r="LUT75" s="53"/>
      <c r="LUU75" s="54"/>
      <c r="LUV75" s="11"/>
      <c r="LUW75" s="14"/>
      <c r="LUX75" s="113"/>
      <c r="LUY75" s="114"/>
      <c r="LUZ75" s="115"/>
      <c r="LVA75" s="18"/>
      <c r="LVB75" s="52"/>
      <c r="LVC75" s="53"/>
      <c r="LVD75" s="54"/>
      <c r="LVE75" s="11"/>
      <c r="LVF75" s="14"/>
      <c r="LVG75" s="113"/>
      <c r="LVH75" s="114"/>
      <c r="LVI75" s="115"/>
      <c r="LVJ75" s="18"/>
      <c r="LVK75" s="52"/>
      <c r="LVL75" s="53"/>
      <c r="LVM75" s="54"/>
      <c r="LVN75" s="11"/>
      <c r="LVO75" s="14"/>
      <c r="LVP75" s="113"/>
      <c r="LVQ75" s="114"/>
      <c r="LVR75" s="115"/>
      <c r="LVS75" s="18"/>
      <c r="LVT75" s="52"/>
      <c r="LVU75" s="53"/>
      <c r="LVV75" s="54"/>
      <c r="LVW75" s="11"/>
      <c r="LVX75" s="14"/>
      <c r="LVY75" s="113"/>
      <c r="LVZ75" s="114"/>
      <c r="LWA75" s="115"/>
      <c r="LWB75" s="18"/>
      <c r="LWC75" s="52"/>
      <c r="LWD75" s="53"/>
      <c r="LWE75" s="54"/>
      <c r="LWF75" s="11"/>
      <c r="LWG75" s="14"/>
      <c r="LWH75" s="113"/>
      <c r="LWI75" s="114"/>
      <c r="LWJ75" s="115"/>
      <c r="LWK75" s="18"/>
      <c r="LWL75" s="52"/>
      <c r="LWM75" s="53"/>
      <c r="LWN75" s="54"/>
      <c r="LWO75" s="11"/>
      <c r="LWP75" s="14"/>
      <c r="LWQ75" s="113"/>
      <c r="LWR75" s="114"/>
      <c r="LWS75" s="115"/>
      <c r="LWT75" s="18"/>
      <c r="LWU75" s="52"/>
      <c r="LWV75" s="53"/>
      <c r="LWW75" s="54"/>
      <c r="LWX75" s="11"/>
      <c r="LWY75" s="14"/>
      <c r="LWZ75" s="113"/>
      <c r="LXA75" s="114"/>
      <c r="LXB75" s="115"/>
      <c r="LXC75" s="18"/>
      <c r="LXD75" s="52"/>
      <c r="LXE75" s="53"/>
      <c r="LXF75" s="54"/>
      <c r="LXG75" s="11"/>
      <c r="LXH75" s="14"/>
      <c r="LXI75" s="113"/>
      <c r="LXJ75" s="114"/>
      <c r="LXK75" s="115"/>
      <c r="LXL75" s="18"/>
      <c r="LXM75" s="52"/>
      <c r="LXN75" s="53"/>
      <c r="LXO75" s="54"/>
      <c r="LXP75" s="11"/>
      <c r="LXQ75" s="14"/>
      <c r="LXR75" s="113"/>
      <c r="LXS75" s="114"/>
      <c r="LXT75" s="115"/>
      <c r="LXU75" s="18"/>
      <c r="LXV75" s="52"/>
      <c r="LXW75" s="53"/>
      <c r="LXX75" s="54"/>
      <c r="LXY75" s="11"/>
      <c r="LXZ75" s="14"/>
      <c r="LYA75" s="113"/>
      <c r="LYB75" s="114"/>
      <c r="LYC75" s="115"/>
      <c r="LYD75" s="18"/>
      <c r="LYE75" s="52"/>
      <c r="LYF75" s="53"/>
      <c r="LYG75" s="54"/>
      <c r="LYH75" s="11"/>
      <c r="LYI75" s="14"/>
      <c r="LYJ75" s="113"/>
      <c r="LYK75" s="114"/>
      <c r="LYL75" s="115"/>
      <c r="LYM75" s="18"/>
      <c r="LYN75" s="52"/>
      <c r="LYO75" s="53"/>
      <c r="LYP75" s="54"/>
      <c r="LYQ75" s="11"/>
      <c r="LYR75" s="14"/>
      <c r="LYS75" s="113"/>
      <c r="LYT75" s="114"/>
      <c r="LYU75" s="115"/>
      <c r="LYV75" s="18"/>
      <c r="LYW75" s="52"/>
      <c r="LYX75" s="53"/>
      <c r="LYY75" s="54"/>
      <c r="LYZ75" s="11"/>
      <c r="LZA75" s="14"/>
      <c r="LZB75" s="113"/>
      <c r="LZC75" s="114"/>
      <c r="LZD75" s="115"/>
      <c r="LZE75" s="18"/>
      <c r="LZF75" s="52"/>
      <c r="LZG75" s="53"/>
      <c r="LZH75" s="54"/>
      <c r="LZI75" s="11"/>
      <c r="LZJ75" s="14"/>
      <c r="LZK75" s="113"/>
      <c r="LZL75" s="114"/>
      <c r="LZM75" s="115"/>
      <c r="LZN75" s="18"/>
      <c r="LZO75" s="52"/>
      <c r="LZP75" s="53"/>
      <c r="LZQ75" s="54"/>
      <c r="LZR75" s="11"/>
      <c r="LZS75" s="14"/>
      <c r="LZT75" s="113"/>
      <c r="LZU75" s="114"/>
      <c r="LZV75" s="115"/>
      <c r="LZW75" s="18"/>
      <c r="LZX75" s="52"/>
      <c r="LZY75" s="53"/>
      <c r="LZZ75" s="54"/>
      <c r="MAA75" s="11"/>
      <c r="MAB75" s="14"/>
      <c r="MAC75" s="113"/>
      <c r="MAD75" s="114"/>
      <c r="MAE75" s="115"/>
      <c r="MAF75" s="18"/>
      <c r="MAG75" s="52"/>
      <c r="MAH75" s="53"/>
      <c r="MAI75" s="54"/>
      <c r="MAJ75" s="11"/>
      <c r="MAK75" s="14"/>
      <c r="MAL75" s="113"/>
      <c r="MAM75" s="114"/>
      <c r="MAN75" s="115"/>
      <c r="MAO75" s="18"/>
      <c r="MAP75" s="52"/>
      <c r="MAQ75" s="53"/>
      <c r="MAR75" s="54"/>
      <c r="MAS75" s="11"/>
      <c r="MAT75" s="14"/>
      <c r="MAU75" s="113"/>
      <c r="MAV75" s="114"/>
      <c r="MAW75" s="115"/>
      <c r="MAX75" s="18"/>
      <c r="MAY75" s="52"/>
      <c r="MAZ75" s="53"/>
      <c r="MBA75" s="54"/>
      <c r="MBB75" s="11"/>
      <c r="MBC75" s="14"/>
      <c r="MBD75" s="113"/>
      <c r="MBE75" s="114"/>
      <c r="MBF75" s="115"/>
      <c r="MBG75" s="18"/>
      <c r="MBH75" s="52"/>
      <c r="MBI75" s="53"/>
      <c r="MBJ75" s="54"/>
      <c r="MBK75" s="11"/>
      <c r="MBL75" s="14"/>
      <c r="MBM75" s="113"/>
      <c r="MBN75" s="114"/>
      <c r="MBO75" s="115"/>
      <c r="MBP75" s="18"/>
      <c r="MBQ75" s="52"/>
      <c r="MBR75" s="53"/>
      <c r="MBS75" s="54"/>
      <c r="MBT75" s="11"/>
      <c r="MBU75" s="14"/>
      <c r="MBV75" s="113"/>
      <c r="MBW75" s="114"/>
      <c r="MBX75" s="115"/>
      <c r="MBY75" s="18"/>
      <c r="MBZ75" s="52"/>
      <c r="MCA75" s="53"/>
      <c r="MCB75" s="54"/>
      <c r="MCC75" s="11"/>
      <c r="MCD75" s="14"/>
      <c r="MCE75" s="113"/>
      <c r="MCF75" s="114"/>
      <c r="MCG75" s="115"/>
      <c r="MCH75" s="18"/>
      <c r="MCI75" s="52"/>
      <c r="MCJ75" s="53"/>
      <c r="MCK75" s="54"/>
      <c r="MCL75" s="11"/>
      <c r="MCM75" s="14"/>
      <c r="MCN75" s="113"/>
      <c r="MCO75" s="114"/>
      <c r="MCP75" s="115"/>
      <c r="MCQ75" s="18"/>
      <c r="MCR75" s="52"/>
      <c r="MCS75" s="53"/>
      <c r="MCT75" s="54"/>
      <c r="MCU75" s="11"/>
      <c r="MCV75" s="14"/>
      <c r="MCW75" s="113"/>
      <c r="MCX75" s="114"/>
      <c r="MCY75" s="115"/>
      <c r="MCZ75" s="18"/>
      <c r="MDA75" s="52"/>
      <c r="MDB75" s="53"/>
      <c r="MDC75" s="54"/>
      <c r="MDD75" s="11"/>
      <c r="MDE75" s="14"/>
      <c r="MDF75" s="113"/>
      <c r="MDG75" s="114"/>
      <c r="MDH75" s="115"/>
      <c r="MDI75" s="18"/>
      <c r="MDJ75" s="52"/>
      <c r="MDK75" s="53"/>
      <c r="MDL75" s="54"/>
      <c r="MDM75" s="11"/>
      <c r="MDN75" s="14"/>
      <c r="MDO75" s="113"/>
      <c r="MDP75" s="114"/>
      <c r="MDQ75" s="115"/>
      <c r="MDR75" s="18"/>
      <c r="MDS75" s="52"/>
      <c r="MDT75" s="53"/>
      <c r="MDU75" s="54"/>
      <c r="MDV75" s="11"/>
      <c r="MDW75" s="14"/>
      <c r="MDX75" s="113"/>
      <c r="MDY75" s="114"/>
      <c r="MDZ75" s="115"/>
      <c r="MEA75" s="18"/>
      <c r="MEB75" s="52"/>
      <c r="MEC75" s="53"/>
      <c r="MED75" s="54"/>
      <c r="MEE75" s="11"/>
      <c r="MEF75" s="14"/>
      <c r="MEG75" s="113"/>
      <c r="MEH75" s="114"/>
      <c r="MEI75" s="115"/>
      <c r="MEJ75" s="18"/>
      <c r="MEK75" s="52"/>
      <c r="MEL75" s="53"/>
      <c r="MEM75" s="54"/>
      <c r="MEN75" s="11"/>
      <c r="MEO75" s="14"/>
      <c r="MEP75" s="113"/>
      <c r="MEQ75" s="114"/>
      <c r="MER75" s="115"/>
      <c r="MES75" s="18"/>
      <c r="MET75" s="52"/>
      <c r="MEU75" s="53"/>
      <c r="MEV75" s="54"/>
      <c r="MEW75" s="11"/>
      <c r="MEX75" s="14"/>
      <c r="MEY75" s="113"/>
      <c r="MEZ75" s="114"/>
      <c r="MFA75" s="115"/>
      <c r="MFB75" s="18"/>
      <c r="MFC75" s="52"/>
      <c r="MFD75" s="53"/>
      <c r="MFE75" s="54"/>
      <c r="MFF75" s="11"/>
      <c r="MFG75" s="14"/>
      <c r="MFH75" s="113"/>
      <c r="MFI75" s="114"/>
      <c r="MFJ75" s="115"/>
      <c r="MFK75" s="18"/>
      <c r="MFL75" s="52"/>
      <c r="MFM75" s="53"/>
      <c r="MFN75" s="54"/>
      <c r="MFO75" s="11"/>
      <c r="MFP75" s="14"/>
      <c r="MFQ75" s="113"/>
      <c r="MFR75" s="114"/>
      <c r="MFS75" s="115"/>
      <c r="MFT75" s="18"/>
      <c r="MFU75" s="52"/>
      <c r="MFV75" s="53"/>
      <c r="MFW75" s="54"/>
      <c r="MFX75" s="11"/>
      <c r="MFY75" s="14"/>
      <c r="MFZ75" s="113"/>
      <c r="MGA75" s="114"/>
      <c r="MGB75" s="115"/>
      <c r="MGC75" s="18"/>
      <c r="MGD75" s="52"/>
      <c r="MGE75" s="53"/>
      <c r="MGF75" s="54"/>
      <c r="MGG75" s="11"/>
      <c r="MGH75" s="14"/>
      <c r="MGI75" s="113"/>
      <c r="MGJ75" s="114"/>
      <c r="MGK75" s="115"/>
      <c r="MGL75" s="18"/>
      <c r="MGM75" s="52"/>
      <c r="MGN75" s="53"/>
      <c r="MGO75" s="54"/>
      <c r="MGP75" s="11"/>
      <c r="MGQ75" s="14"/>
      <c r="MGR75" s="113"/>
      <c r="MGS75" s="114"/>
      <c r="MGT75" s="115"/>
      <c r="MGU75" s="18"/>
      <c r="MGV75" s="52"/>
      <c r="MGW75" s="53"/>
      <c r="MGX75" s="54"/>
      <c r="MGY75" s="11"/>
      <c r="MGZ75" s="14"/>
      <c r="MHA75" s="113"/>
      <c r="MHB75" s="114"/>
      <c r="MHC75" s="115"/>
      <c r="MHD75" s="18"/>
      <c r="MHE75" s="52"/>
      <c r="MHF75" s="53"/>
      <c r="MHG75" s="54"/>
      <c r="MHH75" s="11"/>
      <c r="MHI75" s="14"/>
      <c r="MHJ75" s="113"/>
      <c r="MHK75" s="114"/>
      <c r="MHL75" s="115"/>
      <c r="MHM75" s="18"/>
      <c r="MHN75" s="52"/>
      <c r="MHO75" s="53"/>
      <c r="MHP75" s="54"/>
      <c r="MHQ75" s="11"/>
      <c r="MHR75" s="14"/>
      <c r="MHS75" s="113"/>
      <c r="MHT75" s="114"/>
      <c r="MHU75" s="115"/>
      <c r="MHV75" s="18"/>
      <c r="MHW75" s="52"/>
      <c r="MHX75" s="53"/>
      <c r="MHY75" s="54"/>
      <c r="MHZ75" s="11"/>
      <c r="MIA75" s="14"/>
      <c r="MIB75" s="113"/>
      <c r="MIC75" s="114"/>
      <c r="MID75" s="115"/>
      <c r="MIE75" s="18"/>
      <c r="MIF75" s="52"/>
      <c r="MIG75" s="53"/>
      <c r="MIH75" s="54"/>
      <c r="MII75" s="11"/>
      <c r="MIJ75" s="14"/>
      <c r="MIK75" s="113"/>
      <c r="MIL75" s="114"/>
      <c r="MIM75" s="115"/>
      <c r="MIN75" s="18"/>
      <c r="MIO75" s="52"/>
      <c r="MIP75" s="53"/>
      <c r="MIQ75" s="54"/>
      <c r="MIR75" s="11"/>
      <c r="MIS75" s="14"/>
      <c r="MIT75" s="113"/>
      <c r="MIU75" s="114"/>
      <c r="MIV75" s="115"/>
      <c r="MIW75" s="18"/>
      <c r="MIX75" s="52"/>
      <c r="MIY75" s="53"/>
      <c r="MIZ75" s="54"/>
      <c r="MJA75" s="11"/>
      <c r="MJB75" s="14"/>
      <c r="MJC75" s="113"/>
      <c r="MJD75" s="114"/>
      <c r="MJE75" s="115"/>
      <c r="MJF75" s="18"/>
      <c r="MJG75" s="52"/>
      <c r="MJH75" s="53"/>
      <c r="MJI75" s="54"/>
      <c r="MJJ75" s="11"/>
      <c r="MJK75" s="14"/>
      <c r="MJL75" s="113"/>
      <c r="MJM75" s="114"/>
      <c r="MJN75" s="115"/>
      <c r="MJO75" s="18"/>
      <c r="MJP75" s="52"/>
      <c r="MJQ75" s="53"/>
      <c r="MJR75" s="54"/>
      <c r="MJS75" s="11"/>
      <c r="MJT75" s="14"/>
      <c r="MJU75" s="113"/>
      <c r="MJV75" s="114"/>
      <c r="MJW75" s="115"/>
      <c r="MJX75" s="18"/>
      <c r="MJY75" s="52"/>
      <c r="MJZ75" s="53"/>
      <c r="MKA75" s="54"/>
      <c r="MKB75" s="11"/>
      <c r="MKC75" s="14"/>
      <c r="MKD75" s="113"/>
      <c r="MKE75" s="114"/>
      <c r="MKF75" s="115"/>
      <c r="MKG75" s="18"/>
      <c r="MKH75" s="52"/>
      <c r="MKI75" s="53"/>
      <c r="MKJ75" s="54"/>
      <c r="MKK75" s="11"/>
      <c r="MKL75" s="14"/>
      <c r="MKM75" s="113"/>
      <c r="MKN75" s="114"/>
      <c r="MKO75" s="115"/>
      <c r="MKP75" s="18"/>
      <c r="MKQ75" s="52"/>
      <c r="MKR75" s="53"/>
      <c r="MKS75" s="54"/>
      <c r="MKT75" s="11"/>
      <c r="MKU75" s="14"/>
      <c r="MKV75" s="113"/>
      <c r="MKW75" s="114"/>
      <c r="MKX75" s="115"/>
      <c r="MKY75" s="18"/>
      <c r="MKZ75" s="52"/>
      <c r="MLA75" s="53"/>
      <c r="MLB75" s="54"/>
      <c r="MLC75" s="11"/>
      <c r="MLD75" s="14"/>
      <c r="MLE75" s="113"/>
      <c r="MLF75" s="114"/>
      <c r="MLG75" s="115"/>
      <c r="MLH75" s="18"/>
      <c r="MLI75" s="52"/>
      <c r="MLJ75" s="53"/>
      <c r="MLK75" s="54"/>
      <c r="MLL75" s="11"/>
      <c r="MLM75" s="14"/>
      <c r="MLN75" s="113"/>
      <c r="MLO75" s="114"/>
      <c r="MLP75" s="115"/>
      <c r="MLQ75" s="18"/>
      <c r="MLR75" s="52"/>
      <c r="MLS75" s="53"/>
      <c r="MLT75" s="54"/>
      <c r="MLU75" s="11"/>
      <c r="MLV75" s="14"/>
      <c r="MLW75" s="113"/>
      <c r="MLX75" s="114"/>
      <c r="MLY75" s="115"/>
      <c r="MLZ75" s="18"/>
      <c r="MMA75" s="52"/>
      <c r="MMB75" s="53"/>
      <c r="MMC75" s="54"/>
      <c r="MMD75" s="11"/>
      <c r="MME75" s="14"/>
      <c r="MMF75" s="113"/>
      <c r="MMG75" s="114"/>
      <c r="MMH75" s="115"/>
      <c r="MMI75" s="18"/>
      <c r="MMJ75" s="52"/>
      <c r="MMK75" s="53"/>
      <c r="MML75" s="54"/>
      <c r="MMM75" s="11"/>
      <c r="MMN75" s="14"/>
      <c r="MMO75" s="113"/>
      <c r="MMP75" s="114"/>
      <c r="MMQ75" s="115"/>
      <c r="MMR75" s="18"/>
      <c r="MMS75" s="52"/>
      <c r="MMT75" s="53"/>
      <c r="MMU75" s="54"/>
      <c r="MMV75" s="11"/>
      <c r="MMW75" s="14"/>
      <c r="MMX75" s="113"/>
      <c r="MMY75" s="114"/>
      <c r="MMZ75" s="115"/>
      <c r="MNA75" s="18"/>
      <c r="MNB75" s="52"/>
      <c r="MNC75" s="53"/>
      <c r="MND75" s="54"/>
      <c r="MNE75" s="11"/>
      <c r="MNF75" s="14"/>
      <c r="MNG75" s="113"/>
      <c r="MNH75" s="114"/>
      <c r="MNI75" s="115"/>
      <c r="MNJ75" s="18"/>
      <c r="MNK75" s="52"/>
      <c r="MNL75" s="53"/>
      <c r="MNM75" s="54"/>
      <c r="MNN75" s="11"/>
      <c r="MNO75" s="14"/>
      <c r="MNP75" s="113"/>
      <c r="MNQ75" s="114"/>
      <c r="MNR75" s="115"/>
      <c r="MNS75" s="18"/>
      <c r="MNT75" s="52"/>
      <c r="MNU75" s="53"/>
      <c r="MNV75" s="54"/>
      <c r="MNW75" s="11"/>
      <c r="MNX75" s="14"/>
      <c r="MNY75" s="113"/>
      <c r="MNZ75" s="114"/>
      <c r="MOA75" s="115"/>
      <c r="MOB75" s="18"/>
      <c r="MOC75" s="52"/>
      <c r="MOD75" s="53"/>
      <c r="MOE75" s="54"/>
      <c r="MOF75" s="11"/>
      <c r="MOG75" s="14"/>
      <c r="MOH75" s="113"/>
      <c r="MOI75" s="114"/>
      <c r="MOJ75" s="115"/>
      <c r="MOK75" s="18"/>
      <c r="MOL75" s="52"/>
      <c r="MOM75" s="53"/>
      <c r="MON75" s="54"/>
      <c r="MOO75" s="11"/>
      <c r="MOP75" s="14"/>
      <c r="MOQ75" s="113"/>
      <c r="MOR75" s="114"/>
      <c r="MOS75" s="115"/>
      <c r="MOT75" s="18"/>
      <c r="MOU75" s="52"/>
      <c r="MOV75" s="53"/>
      <c r="MOW75" s="54"/>
      <c r="MOX75" s="11"/>
      <c r="MOY75" s="14"/>
      <c r="MOZ75" s="113"/>
      <c r="MPA75" s="114"/>
      <c r="MPB75" s="115"/>
      <c r="MPC75" s="18"/>
      <c r="MPD75" s="52"/>
      <c r="MPE75" s="53"/>
      <c r="MPF75" s="54"/>
      <c r="MPG75" s="11"/>
      <c r="MPH75" s="14"/>
      <c r="MPI75" s="113"/>
      <c r="MPJ75" s="114"/>
      <c r="MPK75" s="115"/>
      <c r="MPL75" s="18"/>
      <c r="MPM75" s="52"/>
      <c r="MPN75" s="53"/>
      <c r="MPO75" s="54"/>
      <c r="MPP75" s="11"/>
      <c r="MPQ75" s="14"/>
      <c r="MPR75" s="113"/>
      <c r="MPS75" s="114"/>
      <c r="MPT75" s="115"/>
      <c r="MPU75" s="18"/>
      <c r="MPV75" s="52"/>
      <c r="MPW75" s="53"/>
      <c r="MPX75" s="54"/>
      <c r="MPY75" s="11"/>
      <c r="MPZ75" s="14"/>
      <c r="MQA75" s="113"/>
      <c r="MQB75" s="114"/>
      <c r="MQC75" s="115"/>
      <c r="MQD75" s="18"/>
      <c r="MQE75" s="52"/>
      <c r="MQF75" s="53"/>
      <c r="MQG75" s="54"/>
      <c r="MQH75" s="11"/>
      <c r="MQI75" s="14"/>
      <c r="MQJ75" s="113"/>
      <c r="MQK75" s="114"/>
      <c r="MQL75" s="115"/>
      <c r="MQM75" s="18"/>
      <c r="MQN75" s="52"/>
      <c r="MQO75" s="53"/>
      <c r="MQP75" s="54"/>
      <c r="MQQ75" s="11"/>
      <c r="MQR75" s="14"/>
      <c r="MQS75" s="113"/>
      <c r="MQT75" s="114"/>
      <c r="MQU75" s="115"/>
      <c r="MQV75" s="18"/>
      <c r="MQW75" s="52"/>
      <c r="MQX75" s="53"/>
      <c r="MQY75" s="54"/>
      <c r="MQZ75" s="11"/>
      <c r="MRA75" s="14"/>
      <c r="MRB75" s="113"/>
      <c r="MRC75" s="114"/>
      <c r="MRD75" s="115"/>
      <c r="MRE75" s="18"/>
      <c r="MRF75" s="52"/>
      <c r="MRG75" s="53"/>
      <c r="MRH75" s="54"/>
      <c r="MRI75" s="11"/>
      <c r="MRJ75" s="14"/>
      <c r="MRK75" s="113"/>
      <c r="MRL75" s="114"/>
      <c r="MRM75" s="115"/>
      <c r="MRN75" s="18"/>
      <c r="MRO75" s="52"/>
      <c r="MRP75" s="53"/>
      <c r="MRQ75" s="54"/>
      <c r="MRR75" s="11"/>
      <c r="MRS75" s="14"/>
      <c r="MRT75" s="113"/>
      <c r="MRU75" s="114"/>
      <c r="MRV75" s="115"/>
      <c r="MRW75" s="18"/>
      <c r="MRX75" s="52"/>
      <c r="MRY75" s="53"/>
      <c r="MRZ75" s="54"/>
      <c r="MSA75" s="11"/>
      <c r="MSB75" s="14"/>
      <c r="MSC75" s="113"/>
      <c r="MSD75" s="114"/>
      <c r="MSE75" s="115"/>
      <c r="MSF75" s="18"/>
      <c r="MSG75" s="52"/>
      <c r="MSH75" s="53"/>
      <c r="MSI75" s="54"/>
      <c r="MSJ75" s="11"/>
      <c r="MSK75" s="14"/>
      <c r="MSL75" s="113"/>
      <c r="MSM75" s="114"/>
      <c r="MSN75" s="115"/>
      <c r="MSO75" s="18"/>
      <c r="MSP75" s="52"/>
      <c r="MSQ75" s="53"/>
      <c r="MSR75" s="54"/>
      <c r="MSS75" s="11"/>
      <c r="MST75" s="14"/>
      <c r="MSU75" s="113"/>
      <c r="MSV75" s="114"/>
      <c r="MSW75" s="115"/>
      <c r="MSX75" s="18"/>
      <c r="MSY75" s="52"/>
      <c r="MSZ75" s="53"/>
      <c r="MTA75" s="54"/>
      <c r="MTB75" s="11"/>
      <c r="MTC75" s="14"/>
      <c r="MTD75" s="113"/>
      <c r="MTE75" s="114"/>
      <c r="MTF75" s="115"/>
      <c r="MTG75" s="18"/>
      <c r="MTH75" s="52"/>
      <c r="MTI75" s="53"/>
      <c r="MTJ75" s="54"/>
      <c r="MTK75" s="11"/>
      <c r="MTL75" s="14"/>
      <c r="MTM75" s="113"/>
      <c r="MTN75" s="114"/>
      <c r="MTO75" s="115"/>
      <c r="MTP75" s="18"/>
      <c r="MTQ75" s="52"/>
      <c r="MTR75" s="53"/>
      <c r="MTS75" s="54"/>
      <c r="MTT75" s="11"/>
      <c r="MTU75" s="14"/>
      <c r="MTV75" s="113"/>
      <c r="MTW75" s="114"/>
      <c r="MTX75" s="115"/>
      <c r="MTY75" s="18"/>
      <c r="MTZ75" s="52"/>
      <c r="MUA75" s="53"/>
      <c r="MUB75" s="54"/>
      <c r="MUC75" s="11"/>
      <c r="MUD75" s="14"/>
      <c r="MUE75" s="113"/>
      <c r="MUF75" s="114"/>
      <c r="MUG75" s="115"/>
      <c r="MUH75" s="18"/>
      <c r="MUI75" s="52"/>
      <c r="MUJ75" s="53"/>
      <c r="MUK75" s="54"/>
      <c r="MUL75" s="11"/>
      <c r="MUM75" s="14"/>
      <c r="MUN75" s="113"/>
      <c r="MUO75" s="114"/>
      <c r="MUP75" s="115"/>
      <c r="MUQ75" s="18"/>
      <c r="MUR75" s="52"/>
      <c r="MUS75" s="53"/>
      <c r="MUT75" s="54"/>
      <c r="MUU75" s="11"/>
      <c r="MUV75" s="14"/>
      <c r="MUW75" s="113"/>
      <c r="MUX75" s="114"/>
      <c r="MUY75" s="115"/>
      <c r="MUZ75" s="18"/>
      <c r="MVA75" s="52"/>
      <c r="MVB75" s="53"/>
      <c r="MVC75" s="54"/>
      <c r="MVD75" s="11"/>
      <c r="MVE75" s="14"/>
      <c r="MVF75" s="113"/>
      <c r="MVG75" s="114"/>
      <c r="MVH75" s="115"/>
      <c r="MVI75" s="18"/>
      <c r="MVJ75" s="52"/>
      <c r="MVK75" s="53"/>
      <c r="MVL75" s="54"/>
      <c r="MVM75" s="11"/>
      <c r="MVN75" s="14"/>
      <c r="MVO75" s="113"/>
      <c r="MVP75" s="114"/>
      <c r="MVQ75" s="115"/>
      <c r="MVR75" s="18"/>
      <c r="MVS75" s="52"/>
      <c r="MVT75" s="53"/>
      <c r="MVU75" s="54"/>
      <c r="MVV75" s="11"/>
      <c r="MVW75" s="14"/>
      <c r="MVX75" s="113"/>
      <c r="MVY75" s="114"/>
      <c r="MVZ75" s="115"/>
      <c r="MWA75" s="18"/>
      <c r="MWB75" s="52"/>
      <c r="MWC75" s="53"/>
      <c r="MWD75" s="54"/>
      <c r="MWE75" s="11"/>
      <c r="MWF75" s="14"/>
      <c r="MWG75" s="113"/>
      <c r="MWH75" s="114"/>
      <c r="MWI75" s="115"/>
      <c r="MWJ75" s="18"/>
      <c r="MWK75" s="52"/>
      <c r="MWL75" s="53"/>
      <c r="MWM75" s="54"/>
      <c r="MWN75" s="11"/>
      <c r="MWO75" s="14"/>
      <c r="MWP75" s="113"/>
      <c r="MWQ75" s="114"/>
      <c r="MWR75" s="115"/>
      <c r="MWS75" s="18"/>
      <c r="MWT75" s="52"/>
      <c r="MWU75" s="53"/>
      <c r="MWV75" s="54"/>
      <c r="MWW75" s="11"/>
      <c r="MWX75" s="14"/>
      <c r="MWY75" s="113"/>
      <c r="MWZ75" s="114"/>
      <c r="MXA75" s="115"/>
      <c r="MXB75" s="18"/>
      <c r="MXC75" s="52"/>
      <c r="MXD75" s="53"/>
      <c r="MXE75" s="54"/>
      <c r="MXF75" s="11"/>
      <c r="MXG75" s="14"/>
      <c r="MXH75" s="113"/>
      <c r="MXI75" s="114"/>
      <c r="MXJ75" s="115"/>
      <c r="MXK75" s="18"/>
      <c r="MXL75" s="52"/>
      <c r="MXM75" s="53"/>
      <c r="MXN75" s="54"/>
      <c r="MXO75" s="11"/>
      <c r="MXP75" s="14"/>
      <c r="MXQ75" s="113"/>
      <c r="MXR75" s="114"/>
      <c r="MXS75" s="115"/>
      <c r="MXT75" s="18"/>
      <c r="MXU75" s="52"/>
      <c r="MXV75" s="53"/>
      <c r="MXW75" s="54"/>
      <c r="MXX75" s="11"/>
      <c r="MXY75" s="14"/>
      <c r="MXZ75" s="113"/>
      <c r="MYA75" s="114"/>
      <c r="MYB75" s="115"/>
      <c r="MYC75" s="18"/>
      <c r="MYD75" s="52"/>
      <c r="MYE75" s="53"/>
      <c r="MYF75" s="54"/>
      <c r="MYG75" s="11"/>
      <c r="MYH75" s="14"/>
      <c r="MYI75" s="113"/>
      <c r="MYJ75" s="114"/>
      <c r="MYK75" s="115"/>
      <c r="MYL75" s="18"/>
      <c r="MYM75" s="52"/>
      <c r="MYN75" s="53"/>
      <c r="MYO75" s="54"/>
      <c r="MYP75" s="11"/>
      <c r="MYQ75" s="14"/>
      <c r="MYR75" s="113"/>
      <c r="MYS75" s="114"/>
      <c r="MYT75" s="115"/>
      <c r="MYU75" s="18"/>
      <c r="MYV75" s="52"/>
      <c r="MYW75" s="53"/>
      <c r="MYX75" s="54"/>
      <c r="MYY75" s="11"/>
      <c r="MYZ75" s="14"/>
      <c r="MZA75" s="113"/>
      <c r="MZB75" s="114"/>
      <c r="MZC75" s="115"/>
      <c r="MZD75" s="18"/>
      <c r="MZE75" s="52"/>
      <c r="MZF75" s="53"/>
      <c r="MZG75" s="54"/>
      <c r="MZH75" s="11"/>
      <c r="MZI75" s="14"/>
      <c r="MZJ75" s="113"/>
      <c r="MZK75" s="114"/>
      <c r="MZL75" s="115"/>
      <c r="MZM75" s="18"/>
      <c r="MZN75" s="52"/>
      <c r="MZO75" s="53"/>
      <c r="MZP75" s="54"/>
      <c r="MZQ75" s="11"/>
      <c r="MZR75" s="14"/>
      <c r="MZS75" s="113"/>
      <c r="MZT75" s="114"/>
      <c r="MZU75" s="115"/>
      <c r="MZV75" s="18"/>
      <c r="MZW75" s="52"/>
      <c r="MZX75" s="53"/>
      <c r="MZY75" s="54"/>
      <c r="MZZ75" s="11"/>
      <c r="NAA75" s="14"/>
      <c r="NAB75" s="113"/>
      <c r="NAC75" s="114"/>
      <c r="NAD75" s="115"/>
      <c r="NAE75" s="18"/>
      <c r="NAF75" s="52"/>
      <c r="NAG75" s="53"/>
      <c r="NAH75" s="54"/>
      <c r="NAI75" s="11"/>
      <c r="NAJ75" s="14"/>
      <c r="NAK75" s="113"/>
      <c r="NAL75" s="114"/>
      <c r="NAM75" s="115"/>
      <c r="NAN75" s="18"/>
      <c r="NAO75" s="52"/>
      <c r="NAP75" s="53"/>
      <c r="NAQ75" s="54"/>
      <c r="NAR75" s="11"/>
      <c r="NAS75" s="14"/>
      <c r="NAT75" s="113"/>
      <c r="NAU75" s="114"/>
      <c r="NAV75" s="115"/>
      <c r="NAW75" s="18"/>
      <c r="NAX75" s="52"/>
      <c r="NAY75" s="53"/>
      <c r="NAZ75" s="54"/>
      <c r="NBA75" s="11"/>
      <c r="NBB75" s="14"/>
      <c r="NBC75" s="113"/>
      <c r="NBD75" s="114"/>
      <c r="NBE75" s="115"/>
      <c r="NBF75" s="18"/>
      <c r="NBG75" s="52"/>
      <c r="NBH75" s="53"/>
      <c r="NBI75" s="54"/>
      <c r="NBJ75" s="11"/>
      <c r="NBK75" s="14"/>
      <c r="NBL75" s="113"/>
      <c r="NBM75" s="114"/>
      <c r="NBN75" s="115"/>
      <c r="NBO75" s="18"/>
      <c r="NBP75" s="52"/>
      <c r="NBQ75" s="53"/>
      <c r="NBR75" s="54"/>
      <c r="NBS75" s="11"/>
      <c r="NBT75" s="14"/>
      <c r="NBU75" s="113"/>
      <c r="NBV75" s="114"/>
      <c r="NBW75" s="115"/>
      <c r="NBX75" s="18"/>
      <c r="NBY75" s="52"/>
      <c r="NBZ75" s="53"/>
      <c r="NCA75" s="54"/>
      <c r="NCB75" s="11"/>
      <c r="NCC75" s="14"/>
      <c r="NCD75" s="113"/>
      <c r="NCE75" s="114"/>
      <c r="NCF75" s="115"/>
      <c r="NCG75" s="18"/>
      <c r="NCH75" s="52"/>
      <c r="NCI75" s="53"/>
      <c r="NCJ75" s="54"/>
      <c r="NCK75" s="11"/>
      <c r="NCL75" s="14"/>
      <c r="NCM75" s="113"/>
      <c r="NCN75" s="114"/>
      <c r="NCO75" s="115"/>
      <c r="NCP75" s="18"/>
      <c r="NCQ75" s="52"/>
      <c r="NCR75" s="53"/>
      <c r="NCS75" s="54"/>
      <c r="NCT75" s="11"/>
      <c r="NCU75" s="14"/>
      <c r="NCV75" s="113"/>
      <c r="NCW75" s="114"/>
      <c r="NCX75" s="115"/>
      <c r="NCY75" s="18"/>
      <c r="NCZ75" s="52"/>
      <c r="NDA75" s="53"/>
      <c r="NDB75" s="54"/>
      <c r="NDC75" s="11"/>
      <c r="NDD75" s="14"/>
      <c r="NDE75" s="113"/>
      <c r="NDF75" s="114"/>
      <c r="NDG75" s="115"/>
      <c r="NDH75" s="18"/>
      <c r="NDI75" s="52"/>
      <c r="NDJ75" s="53"/>
      <c r="NDK75" s="54"/>
      <c r="NDL75" s="11"/>
      <c r="NDM75" s="14"/>
      <c r="NDN75" s="113"/>
      <c r="NDO75" s="114"/>
      <c r="NDP75" s="115"/>
      <c r="NDQ75" s="18"/>
      <c r="NDR75" s="52"/>
      <c r="NDS75" s="53"/>
      <c r="NDT75" s="54"/>
      <c r="NDU75" s="11"/>
      <c r="NDV75" s="14"/>
      <c r="NDW75" s="113"/>
      <c r="NDX75" s="114"/>
      <c r="NDY75" s="115"/>
      <c r="NDZ75" s="18"/>
      <c r="NEA75" s="52"/>
      <c r="NEB75" s="53"/>
      <c r="NEC75" s="54"/>
      <c r="NED75" s="11"/>
      <c r="NEE75" s="14"/>
      <c r="NEF75" s="113"/>
      <c r="NEG75" s="114"/>
      <c r="NEH75" s="115"/>
      <c r="NEI75" s="18"/>
      <c r="NEJ75" s="52"/>
      <c r="NEK75" s="53"/>
      <c r="NEL75" s="54"/>
      <c r="NEM75" s="11"/>
      <c r="NEN75" s="14"/>
      <c r="NEO75" s="113"/>
      <c r="NEP75" s="114"/>
      <c r="NEQ75" s="115"/>
      <c r="NER75" s="18"/>
      <c r="NES75" s="52"/>
      <c r="NET75" s="53"/>
      <c r="NEU75" s="54"/>
      <c r="NEV75" s="11"/>
      <c r="NEW75" s="14"/>
      <c r="NEX75" s="113"/>
      <c r="NEY75" s="114"/>
      <c r="NEZ75" s="115"/>
      <c r="NFA75" s="18"/>
      <c r="NFB75" s="52"/>
      <c r="NFC75" s="53"/>
      <c r="NFD75" s="54"/>
      <c r="NFE75" s="11"/>
      <c r="NFF75" s="14"/>
      <c r="NFG75" s="113"/>
      <c r="NFH75" s="114"/>
      <c r="NFI75" s="115"/>
      <c r="NFJ75" s="18"/>
      <c r="NFK75" s="52"/>
      <c r="NFL75" s="53"/>
      <c r="NFM75" s="54"/>
      <c r="NFN75" s="11"/>
      <c r="NFO75" s="14"/>
      <c r="NFP75" s="113"/>
      <c r="NFQ75" s="114"/>
      <c r="NFR75" s="115"/>
      <c r="NFS75" s="18"/>
      <c r="NFT75" s="52"/>
      <c r="NFU75" s="53"/>
      <c r="NFV75" s="54"/>
      <c r="NFW75" s="11"/>
      <c r="NFX75" s="14"/>
      <c r="NFY75" s="113"/>
      <c r="NFZ75" s="114"/>
      <c r="NGA75" s="115"/>
      <c r="NGB75" s="18"/>
      <c r="NGC75" s="52"/>
      <c r="NGD75" s="53"/>
      <c r="NGE75" s="54"/>
      <c r="NGF75" s="11"/>
      <c r="NGG75" s="14"/>
      <c r="NGH75" s="113"/>
      <c r="NGI75" s="114"/>
      <c r="NGJ75" s="115"/>
      <c r="NGK75" s="18"/>
      <c r="NGL75" s="52"/>
      <c r="NGM75" s="53"/>
      <c r="NGN75" s="54"/>
      <c r="NGO75" s="11"/>
      <c r="NGP75" s="14"/>
      <c r="NGQ75" s="113"/>
      <c r="NGR75" s="114"/>
      <c r="NGS75" s="115"/>
      <c r="NGT75" s="18"/>
      <c r="NGU75" s="52"/>
      <c r="NGV75" s="53"/>
      <c r="NGW75" s="54"/>
      <c r="NGX75" s="11"/>
      <c r="NGY75" s="14"/>
      <c r="NGZ75" s="113"/>
      <c r="NHA75" s="114"/>
      <c r="NHB75" s="115"/>
      <c r="NHC75" s="18"/>
      <c r="NHD75" s="52"/>
      <c r="NHE75" s="53"/>
      <c r="NHF75" s="54"/>
      <c r="NHG75" s="11"/>
      <c r="NHH75" s="14"/>
      <c r="NHI75" s="113"/>
      <c r="NHJ75" s="114"/>
      <c r="NHK75" s="115"/>
      <c r="NHL75" s="18"/>
      <c r="NHM75" s="52"/>
      <c r="NHN75" s="53"/>
      <c r="NHO75" s="54"/>
      <c r="NHP75" s="11"/>
      <c r="NHQ75" s="14"/>
      <c r="NHR75" s="113"/>
      <c r="NHS75" s="114"/>
      <c r="NHT75" s="115"/>
      <c r="NHU75" s="18"/>
      <c r="NHV75" s="52"/>
      <c r="NHW75" s="53"/>
      <c r="NHX75" s="54"/>
      <c r="NHY75" s="11"/>
      <c r="NHZ75" s="14"/>
      <c r="NIA75" s="113"/>
      <c r="NIB75" s="114"/>
      <c r="NIC75" s="115"/>
      <c r="NID75" s="18"/>
      <c r="NIE75" s="52"/>
      <c r="NIF75" s="53"/>
      <c r="NIG75" s="54"/>
      <c r="NIH75" s="11"/>
      <c r="NII75" s="14"/>
      <c r="NIJ75" s="113"/>
      <c r="NIK75" s="114"/>
      <c r="NIL75" s="115"/>
      <c r="NIM75" s="18"/>
      <c r="NIN75" s="52"/>
      <c r="NIO75" s="53"/>
      <c r="NIP75" s="54"/>
      <c r="NIQ75" s="11"/>
      <c r="NIR75" s="14"/>
      <c r="NIS75" s="113"/>
      <c r="NIT75" s="114"/>
      <c r="NIU75" s="115"/>
      <c r="NIV75" s="18"/>
      <c r="NIW75" s="52"/>
      <c r="NIX75" s="53"/>
      <c r="NIY75" s="54"/>
      <c r="NIZ75" s="11"/>
      <c r="NJA75" s="14"/>
      <c r="NJB75" s="113"/>
      <c r="NJC75" s="114"/>
      <c r="NJD75" s="115"/>
      <c r="NJE75" s="18"/>
      <c r="NJF75" s="52"/>
      <c r="NJG75" s="53"/>
      <c r="NJH75" s="54"/>
      <c r="NJI75" s="11"/>
      <c r="NJJ75" s="14"/>
      <c r="NJK75" s="113"/>
      <c r="NJL75" s="114"/>
      <c r="NJM75" s="115"/>
      <c r="NJN75" s="18"/>
      <c r="NJO75" s="52"/>
      <c r="NJP75" s="53"/>
      <c r="NJQ75" s="54"/>
      <c r="NJR75" s="11"/>
      <c r="NJS75" s="14"/>
      <c r="NJT75" s="113"/>
      <c r="NJU75" s="114"/>
      <c r="NJV75" s="115"/>
      <c r="NJW75" s="18"/>
      <c r="NJX75" s="52"/>
      <c r="NJY75" s="53"/>
      <c r="NJZ75" s="54"/>
      <c r="NKA75" s="11"/>
      <c r="NKB75" s="14"/>
      <c r="NKC75" s="113"/>
      <c r="NKD75" s="114"/>
      <c r="NKE75" s="115"/>
      <c r="NKF75" s="18"/>
      <c r="NKG75" s="52"/>
      <c r="NKH75" s="53"/>
      <c r="NKI75" s="54"/>
      <c r="NKJ75" s="11"/>
      <c r="NKK75" s="14"/>
      <c r="NKL75" s="113"/>
      <c r="NKM75" s="114"/>
      <c r="NKN75" s="115"/>
      <c r="NKO75" s="18"/>
      <c r="NKP75" s="52"/>
      <c r="NKQ75" s="53"/>
      <c r="NKR75" s="54"/>
      <c r="NKS75" s="11"/>
      <c r="NKT75" s="14"/>
      <c r="NKU75" s="113"/>
      <c r="NKV75" s="114"/>
      <c r="NKW75" s="115"/>
      <c r="NKX75" s="18"/>
      <c r="NKY75" s="52"/>
      <c r="NKZ75" s="53"/>
      <c r="NLA75" s="54"/>
      <c r="NLB75" s="11"/>
      <c r="NLC75" s="14"/>
      <c r="NLD75" s="113"/>
      <c r="NLE75" s="114"/>
      <c r="NLF75" s="115"/>
      <c r="NLG75" s="18"/>
      <c r="NLH75" s="52"/>
      <c r="NLI75" s="53"/>
      <c r="NLJ75" s="54"/>
      <c r="NLK75" s="11"/>
      <c r="NLL75" s="14"/>
      <c r="NLM75" s="113"/>
      <c r="NLN75" s="114"/>
      <c r="NLO75" s="115"/>
      <c r="NLP75" s="18"/>
      <c r="NLQ75" s="52"/>
      <c r="NLR75" s="53"/>
      <c r="NLS75" s="54"/>
      <c r="NLT75" s="11"/>
      <c r="NLU75" s="14"/>
      <c r="NLV75" s="113"/>
      <c r="NLW75" s="114"/>
      <c r="NLX75" s="115"/>
      <c r="NLY75" s="18"/>
      <c r="NLZ75" s="52"/>
      <c r="NMA75" s="53"/>
      <c r="NMB75" s="54"/>
      <c r="NMC75" s="11"/>
      <c r="NMD75" s="14"/>
      <c r="NME75" s="113"/>
      <c r="NMF75" s="114"/>
      <c r="NMG75" s="115"/>
      <c r="NMH75" s="18"/>
      <c r="NMI75" s="52"/>
      <c r="NMJ75" s="53"/>
      <c r="NMK75" s="54"/>
      <c r="NML75" s="11"/>
      <c r="NMM75" s="14"/>
      <c r="NMN75" s="113"/>
      <c r="NMO75" s="114"/>
      <c r="NMP75" s="115"/>
      <c r="NMQ75" s="18"/>
      <c r="NMR75" s="52"/>
      <c r="NMS75" s="53"/>
      <c r="NMT75" s="54"/>
      <c r="NMU75" s="11"/>
      <c r="NMV75" s="14"/>
      <c r="NMW75" s="113"/>
      <c r="NMX75" s="114"/>
      <c r="NMY75" s="115"/>
      <c r="NMZ75" s="18"/>
      <c r="NNA75" s="52"/>
      <c r="NNB75" s="53"/>
      <c r="NNC75" s="54"/>
      <c r="NND75" s="11"/>
      <c r="NNE75" s="14"/>
      <c r="NNF75" s="113"/>
      <c r="NNG75" s="114"/>
      <c r="NNH75" s="115"/>
      <c r="NNI75" s="18"/>
      <c r="NNJ75" s="52"/>
      <c r="NNK75" s="53"/>
      <c r="NNL75" s="54"/>
      <c r="NNM75" s="11"/>
      <c r="NNN75" s="14"/>
      <c r="NNO75" s="113"/>
      <c r="NNP75" s="114"/>
      <c r="NNQ75" s="115"/>
      <c r="NNR75" s="18"/>
      <c r="NNS75" s="52"/>
      <c r="NNT75" s="53"/>
      <c r="NNU75" s="54"/>
      <c r="NNV75" s="11"/>
      <c r="NNW75" s="14"/>
      <c r="NNX75" s="113"/>
      <c r="NNY75" s="114"/>
      <c r="NNZ75" s="115"/>
      <c r="NOA75" s="18"/>
      <c r="NOB75" s="52"/>
      <c r="NOC75" s="53"/>
      <c r="NOD75" s="54"/>
      <c r="NOE75" s="11"/>
      <c r="NOF75" s="14"/>
      <c r="NOG75" s="113"/>
      <c r="NOH75" s="114"/>
      <c r="NOI75" s="115"/>
      <c r="NOJ75" s="18"/>
      <c r="NOK75" s="52"/>
      <c r="NOL75" s="53"/>
      <c r="NOM75" s="54"/>
      <c r="NON75" s="11"/>
      <c r="NOO75" s="14"/>
      <c r="NOP75" s="113"/>
      <c r="NOQ75" s="114"/>
      <c r="NOR75" s="115"/>
      <c r="NOS75" s="18"/>
      <c r="NOT75" s="52"/>
      <c r="NOU75" s="53"/>
      <c r="NOV75" s="54"/>
      <c r="NOW75" s="11"/>
      <c r="NOX75" s="14"/>
      <c r="NOY75" s="113"/>
      <c r="NOZ75" s="114"/>
      <c r="NPA75" s="115"/>
      <c r="NPB75" s="18"/>
      <c r="NPC75" s="52"/>
      <c r="NPD75" s="53"/>
      <c r="NPE75" s="54"/>
      <c r="NPF75" s="11"/>
      <c r="NPG75" s="14"/>
      <c r="NPH75" s="113"/>
      <c r="NPI75" s="114"/>
      <c r="NPJ75" s="115"/>
      <c r="NPK75" s="18"/>
      <c r="NPL75" s="52"/>
      <c r="NPM75" s="53"/>
      <c r="NPN75" s="54"/>
      <c r="NPO75" s="11"/>
      <c r="NPP75" s="14"/>
      <c r="NPQ75" s="113"/>
      <c r="NPR75" s="114"/>
      <c r="NPS75" s="115"/>
      <c r="NPT75" s="18"/>
      <c r="NPU75" s="52"/>
      <c r="NPV75" s="53"/>
      <c r="NPW75" s="54"/>
      <c r="NPX75" s="11"/>
      <c r="NPY75" s="14"/>
      <c r="NPZ75" s="113"/>
      <c r="NQA75" s="114"/>
      <c r="NQB75" s="115"/>
      <c r="NQC75" s="18"/>
      <c r="NQD75" s="52"/>
      <c r="NQE75" s="53"/>
      <c r="NQF75" s="54"/>
      <c r="NQG75" s="11"/>
      <c r="NQH75" s="14"/>
      <c r="NQI75" s="113"/>
      <c r="NQJ75" s="114"/>
      <c r="NQK75" s="115"/>
      <c r="NQL75" s="18"/>
      <c r="NQM75" s="52"/>
      <c r="NQN75" s="53"/>
      <c r="NQO75" s="54"/>
      <c r="NQP75" s="11"/>
      <c r="NQQ75" s="14"/>
      <c r="NQR75" s="113"/>
      <c r="NQS75" s="114"/>
      <c r="NQT75" s="115"/>
      <c r="NQU75" s="18"/>
      <c r="NQV75" s="52"/>
      <c r="NQW75" s="53"/>
      <c r="NQX75" s="54"/>
      <c r="NQY75" s="11"/>
      <c r="NQZ75" s="14"/>
      <c r="NRA75" s="113"/>
      <c r="NRB75" s="114"/>
      <c r="NRC75" s="115"/>
      <c r="NRD75" s="18"/>
      <c r="NRE75" s="52"/>
      <c r="NRF75" s="53"/>
      <c r="NRG75" s="54"/>
      <c r="NRH75" s="11"/>
      <c r="NRI75" s="14"/>
      <c r="NRJ75" s="113"/>
      <c r="NRK75" s="114"/>
      <c r="NRL75" s="115"/>
      <c r="NRM75" s="18"/>
      <c r="NRN75" s="52"/>
      <c r="NRO75" s="53"/>
      <c r="NRP75" s="54"/>
      <c r="NRQ75" s="11"/>
      <c r="NRR75" s="14"/>
      <c r="NRS75" s="113"/>
      <c r="NRT75" s="114"/>
      <c r="NRU75" s="115"/>
      <c r="NRV75" s="18"/>
      <c r="NRW75" s="52"/>
      <c r="NRX75" s="53"/>
      <c r="NRY75" s="54"/>
      <c r="NRZ75" s="11"/>
      <c r="NSA75" s="14"/>
      <c r="NSB75" s="113"/>
      <c r="NSC75" s="114"/>
      <c r="NSD75" s="115"/>
      <c r="NSE75" s="18"/>
      <c r="NSF75" s="52"/>
      <c r="NSG75" s="53"/>
      <c r="NSH75" s="54"/>
      <c r="NSI75" s="11"/>
      <c r="NSJ75" s="14"/>
      <c r="NSK75" s="113"/>
      <c r="NSL75" s="114"/>
      <c r="NSM75" s="115"/>
      <c r="NSN75" s="18"/>
      <c r="NSO75" s="52"/>
      <c r="NSP75" s="53"/>
      <c r="NSQ75" s="54"/>
      <c r="NSR75" s="11"/>
      <c r="NSS75" s="14"/>
      <c r="NST75" s="113"/>
      <c r="NSU75" s="114"/>
      <c r="NSV75" s="115"/>
      <c r="NSW75" s="18"/>
      <c r="NSX75" s="52"/>
      <c r="NSY75" s="53"/>
      <c r="NSZ75" s="54"/>
      <c r="NTA75" s="11"/>
      <c r="NTB75" s="14"/>
      <c r="NTC75" s="113"/>
      <c r="NTD75" s="114"/>
      <c r="NTE75" s="115"/>
      <c r="NTF75" s="18"/>
      <c r="NTG75" s="52"/>
      <c r="NTH75" s="53"/>
      <c r="NTI75" s="54"/>
      <c r="NTJ75" s="11"/>
      <c r="NTK75" s="14"/>
      <c r="NTL75" s="113"/>
      <c r="NTM75" s="114"/>
      <c r="NTN75" s="115"/>
      <c r="NTO75" s="18"/>
      <c r="NTP75" s="52"/>
      <c r="NTQ75" s="53"/>
      <c r="NTR75" s="54"/>
      <c r="NTS75" s="11"/>
      <c r="NTT75" s="14"/>
      <c r="NTU75" s="113"/>
      <c r="NTV75" s="114"/>
      <c r="NTW75" s="115"/>
      <c r="NTX75" s="18"/>
      <c r="NTY75" s="52"/>
      <c r="NTZ75" s="53"/>
      <c r="NUA75" s="54"/>
      <c r="NUB75" s="11"/>
      <c r="NUC75" s="14"/>
      <c r="NUD75" s="113"/>
      <c r="NUE75" s="114"/>
      <c r="NUF75" s="115"/>
      <c r="NUG75" s="18"/>
      <c r="NUH75" s="52"/>
      <c r="NUI75" s="53"/>
      <c r="NUJ75" s="54"/>
      <c r="NUK75" s="11"/>
      <c r="NUL75" s="14"/>
      <c r="NUM75" s="113"/>
      <c r="NUN75" s="114"/>
      <c r="NUO75" s="115"/>
      <c r="NUP75" s="18"/>
      <c r="NUQ75" s="52"/>
      <c r="NUR75" s="53"/>
      <c r="NUS75" s="54"/>
      <c r="NUT75" s="11"/>
      <c r="NUU75" s="14"/>
      <c r="NUV75" s="113"/>
      <c r="NUW75" s="114"/>
      <c r="NUX75" s="115"/>
      <c r="NUY75" s="18"/>
      <c r="NUZ75" s="52"/>
      <c r="NVA75" s="53"/>
      <c r="NVB75" s="54"/>
      <c r="NVC75" s="11"/>
      <c r="NVD75" s="14"/>
      <c r="NVE75" s="113"/>
      <c r="NVF75" s="114"/>
      <c r="NVG75" s="115"/>
      <c r="NVH75" s="18"/>
      <c r="NVI75" s="52"/>
      <c r="NVJ75" s="53"/>
      <c r="NVK75" s="54"/>
      <c r="NVL75" s="11"/>
      <c r="NVM75" s="14"/>
      <c r="NVN75" s="113"/>
      <c r="NVO75" s="114"/>
      <c r="NVP75" s="115"/>
      <c r="NVQ75" s="18"/>
      <c r="NVR75" s="52"/>
      <c r="NVS75" s="53"/>
      <c r="NVT75" s="54"/>
      <c r="NVU75" s="11"/>
      <c r="NVV75" s="14"/>
      <c r="NVW75" s="113"/>
      <c r="NVX75" s="114"/>
      <c r="NVY75" s="115"/>
      <c r="NVZ75" s="18"/>
      <c r="NWA75" s="52"/>
      <c r="NWB75" s="53"/>
      <c r="NWC75" s="54"/>
      <c r="NWD75" s="11"/>
      <c r="NWE75" s="14"/>
      <c r="NWF75" s="113"/>
      <c r="NWG75" s="114"/>
      <c r="NWH75" s="115"/>
      <c r="NWI75" s="18"/>
      <c r="NWJ75" s="52"/>
      <c r="NWK75" s="53"/>
      <c r="NWL75" s="54"/>
      <c r="NWM75" s="11"/>
      <c r="NWN75" s="14"/>
      <c r="NWO75" s="113"/>
      <c r="NWP75" s="114"/>
      <c r="NWQ75" s="115"/>
      <c r="NWR75" s="18"/>
      <c r="NWS75" s="52"/>
      <c r="NWT75" s="53"/>
      <c r="NWU75" s="54"/>
      <c r="NWV75" s="11"/>
      <c r="NWW75" s="14"/>
      <c r="NWX75" s="113"/>
      <c r="NWY75" s="114"/>
      <c r="NWZ75" s="115"/>
      <c r="NXA75" s="18"/>
      <c r="NXB75" s="52"/>
      <c r="NXC75" s="53"/>
      <c r="NXD75" s="54"/>
      <c r="NXE75" s="11"/>
      <c r="NXF75" s="14"/>
      <c r="NXG75" s="113"/>
      <c r="NXH75" s="114"/>
      <c r="NXI75" s="115"/>
      <c r="NXJ75" s="18"/>
      <c r="NXK75" s="52"/>
      <c r="NXL75" s="53"/>
      <c r="NXM75" s="54"/>
      <c r="NXN75" s="11"/>
      <c r="NXO75" s="14"/>
      <c r="NXP75" s="113"/>
      <c r="NXQ75" s="114"/>
      <c r="NXR75" s="115"/>
      <c r="NXS75" s="18"/>
      <c r="NXT75" s="52"/>
      <c r="NXU75" s="53"/>
      <c r="NXV75" s="54"/>
      <c r="NXW75" s="11"/>
      <c r="NXX75" s="14"/>
      <c r="NXY75" s="113"/>
      <c r="NXZ75" s="114"/>
      <c r="NYA75" s="115"/>
      <c r="NYB75" s="18"/>
      <c r="NYC75" s="52"/>
      <c r="NYD75" s="53"/>
      <c r="NYE75" s="54"/>
      <c r="NYF75" s="11"/>
      <c r="NYG75" s="14"/>
      <c r="NYH75" s="113"/>
      <c r="NYI75" s="114"/>
      <c r="NYJ75" s="115"/>
      <c r="NYK75" s="18"/>
      <c r="NYL75" s="52"/>
      <c r="NYM75" s="53"/>
      <c r="NYN75" s="54"/>
      <c r="NYO75" s="11"/>
      <c r="NYP75" s="14"/>
      <c r="NYQ75" s="113"/>
      <c r="NYR75" s="114"/>
      <c r="NYS75" s="115"/>
      <c r="NYT75" s="18"/>
      <c r="NYU75" s="52"/>
      <c r="NYV75" s="53"/>
      <c r="NYW75" s="54"/>
      <c r="NYX75" s="11"/>
      <c r="NYY75" s="14"/>
      <c r="NYZ75" s="113"/>
      <c r="NZA75" s="114"/>
      <c r="NZB75" s="115"/>
      <c r="NZC75" s="18"/>
      <c r="NZD75" s="52"/>
      <c r="NZE75" s="53"/>
      <c r="NZF75" s="54"/>
      <c r="NZG75" s="11"/>
      <c r="NZH75" s="14"/>
      <c r="NZI75" s="113"/>
      <c r="NZJ75" s="114"/>
      <c r="NZK75" s="115"/>
      <c r="NZL75" s="18"/>
      <c r="NZM75" s="52"/>
      <c r="NZN75" s="53"/>
      <c r="NZO75" s="54"/>
      <c r="NZP75" s="11"/>
      <c r="NZQ75" s="14"/>
      <c r="NZR75" s="113"/>
      <c r="NZS75" s="114"/>
      <c r="NZT75" s="115"/>
      <c r="NZU75" s="18"/>
      <c r="NZV75" s="52"/>
      <c r="NZW75" s="53"/>
      <c r="NZX75" s="54"/>
      <c r="NZY75" s="11"/>
      <c r="NZZ75" s="14"/>
      <c r="OAA75" s="113"/>
      <c r="OAB75" s="114"/>
      <c r="OAC75" s="115"/>
      <c r="OAD75" s="18"/>
      <c r="OAE75" s="52"/>
      <c r="OAF75" s="53"/>
      <c r="OAG75" s="54"/>
      <c r="OAH75" s="11"/>
      <c r="OAI75" s="14"/>
      <c r="OAJ75" s="113"/>
      <c r="OAK75" s="114"/>
      <c r="OAL75" s="115"/>
      <c r="OAM75" s="18"/>
      <c r="OAN75" s="52"/>
      <c r="OAO75" s="53"/>
      <c r="OAP75" s="54"/>
      <c r="OAQ75" s="11"/>
      <c r="OAR75" s="14"/>
      <c r="OAS75" s="113"/>
      <c r="OAT75" s="114"/>
      <c r="OAU75" s="115"/>
      <c r="OAV75" s="18"/>
      <c r="OAW75" s="52"/>
      <c r="OAX75" s="53"/>
      <c r="OAY75" s="54"/>
      <c r="OAZ75" s="11"/>
      <c r="OBA75" s="14"/>
      <c r="OBB75" s="113"/>
      <c r="OBC75" s="114"/>
      <c r="OBD75" s="115"/>
      <c r="OBE75" s="18"/>
      <c r="OBF75" s="52"/>
      <c r="OBG75" s="53"/>
      <c r="OBH75" s="54"/>
      <c r="OBI75" s="11"/>
      <c r="OBJ75" s="14"/>
      <c r="OBK75" s="113"/>
      <c r="OBL75" s="114"/>
      <c r="OBM75" s="115"/>
      <c r="OBN75" s="18"/>
      <c r="OBO75" s="52"/>
      <c r="OBP75" s="53"/>
      <c r="OBQ75" s="54"/>
      <c r="OBR75" s="11"/>
      <c r="OBS75" s="14"/>
      <c r="OBT75" s="113"/>
      <c r="OBU75" s="114"/>
      <c r="OBV75" s="115"/>
      <c r="OBW75" s="18"/>
      <c r="OBX75" s="52"/>
      <c r="OBY75" s="53"/>
      <c r="OBZ75" s="54"/>
      <c r="OCA75" s="11"/>
      <c r="OCB75" s="14"/>
      <c r="OCC75" s="113"/>
      <c r="OCD75" s="114"/>
      <c r="OCE75" s="115"/>
      <c r="OCF75" s="18"/>
      <c r="OCG75" s="52"/>
      <c r="OCH75" s="53"/>
      <c r="OCI75" s="54"/>
      <c r="OCJ75" s="11"/>
      <c r="OCK75" s="14"/>
      <c r="OCL75" s="113"/>
      <c r="OCM75" s="114"/>
      <c r="OCN75" s="115"/>
      <c r="OCO75" s="18"/>
      <c r="OCP75" s="52"/>
      <c r="OCQ75" s="53"/>
      <c r="OCR75" s="54"/>
      <c r="OCS75" s="11"/>
      <c r="OCT75" s="14"/>
      <c r="OCU75" s="113"/>
      <c r="OCV75" s="114"/>
      <c r="OCW75" s="115"/>
      <c r="OCX75" s="18"/>
      <c r="OCY75" s="52"/>
      <c r="OCZ75" s="53"/>
      <c r="ODA75" s="54"/>
      <c r="ODB75" s="11"/>
      <c r="ODC75" s="14"/>
      <c r="ODD75" s="113"/>
      <c r="ODE75" s="114"/>
      <c r="ODF75" s="115"/>
      <c r="ODG75" s="18"/>
      <c r="ODH75" s="52"/>
      <c r="ODI75" s="53"/>
      <c r="ODJ75" s="54"/>
      <c r="ODK75" s="11"/>
      <c r="ODL75" s="14"/>
      <c r="ODM75" s="113"/>
      <c r="ODN75" s="114"/>
      <c r="ODO75" s="115"/>
      <c r="ODP75" s="18"/>
      <c r="ODQ75" s="52"/>
      <c r="ODR75" s="53"/>
      <c r="ODS75" s="54"/>
      <c r="ODT75" s="11"/>
      <c r="ODU75" s="14"/>
      <c r="ODV75" s="113"/>
      <c r="ODW75" s="114"/>
      <c r="ODX75" s="115"/>
      <c r="ODY75" s="18"/>
      <c r="ODZ75" s="52"/>
      <c r="OEA75" s="53"/>
      <c r="OEB75" s="54"/>
      <c r="OEC75" s="11"/>
      <c r="OED75" s="14"/>
      <c r="OEE75" s="113"/>
      <c r="OEF75" s="114"/>
      <c r="OEG75" s="115"/>
      <c r="OEH75" s="18"/>
      <c r="OEI75" s="52"/>
      <c r="OEJ75" s="53"/>
      <c r="OEK75" s="54"/>
      <c r="OEL75" s="11"/>
      <c r="OEM75" s="14"/>
      <c r="OEN75" s="113"/>
      <c r="OEO75" s="114"/>
      <c r="OEP75" s="115"/>
      <c r="OEQ75" s="18"/>
      <c r="OER75" s="52"/>
      <c r="OES75" s="53"/>
      <c r="OET75" s="54"/>
      <c r="OEU75" s="11"/>
      <c r="OEV75" s="14"/>
      <c r="OEW75" s="113"/>
      <c r="OEX75" s="114"/>
      <c r="OEY75" s="115"/>
      <c r="OEZ75" s="18"/>
      <c r="OFA75" s="52"/>
      <c r="OFB75" s="53"/>
      <c r="OFC75" s="54"/>
      <c r="OFD75" s="11"/>
      <c r="OFE75" s="14"/>
      <c r="OFF75" s="113"/>
      <c r="OFG75" s="114"/>
      <c r="OFH75" s="115"/>
      <c r="OFI75" s="18"/>
      <c r="OFJ75" s="52"/>
      <c r="OFK75" s="53"/>
      <c r="OFL75" s="54"/>
      <c r="OFM75" s="11"/>
      <c r="OFN75" s="14"/>
      <c r="OFO75" s="113"/>
      <c r="OFP75" s="114"/>
      <c r="OFQ75" s="115"/>
      <c r="OFR75" s="18"/>
      <c r="OFS75" s="52"/>
      <c r="OFT75" s="53"/>
      <c r="OFU75" s="54"/>
      <c r="OFV75" s="11"/>
      <c r="OFW75" s="14"/>
      <c r="OFX75" s="113"/>
      <c r="OFY75" s="114"/>
      <c r="OFZ75" s="115"/>
      <c r="OGA75" s="18"/>
      <c r="OGB75" s="52"/>
      <c r="OGC75" s="53"/>
      <c r="OGD75" s="54"/>
      <c r="OGE75" s="11"/>
      <c r="OGF75" s="14"/>
      <c r="OGG75" s="113"/>
      <c r="OGH75" s="114"/>
      <c r="OGI75" s="115"/>
      <c r="OGJ75" s="18"/>
      <c r="OGK75" s="52"/>
      <c r="OGL75" s="53"/>
      <c r="OGM75" s="54"/>
      <c r="OGN75" s="11"/>
      <c r="OGO75" s="14"/>
      <c r="OGP75" s="113"/>
      <c r="OGQ75" s="114"/>
      <c r="OGR75" s="115"/>
      <c r="OGS75" s="18"/>
      <c r="OGT75" s="52"/>
      <c r="OGU75" s="53"/>
      <c r="OGV75" s="54"/>
      <c r="OGW75" s="11"/>
      <c r="OGX75" s="14"/>
      <c r="OGY75" s="113"/>
      <c r="OGZ75" s="114"/>
      <c r="OHA75" s="115"/>
      <c r="OHB75" s="18"/>
      <c r="OHC75" s="52"/>
      <c r="OHD75" s="53"/>
      <c r="OHE75" s="54"/>
      <c r="OHF75" s="11"/>
      <c r="OHG75" s="14"/>
      <c r="OHH75" s="113"/>
      <c r="OHI75" s="114"/>
      <c r="OHJ75" s="115"/>
      <c r="OHK75" s="18"/>
      <c r="OHL75" s="52"/>
      <c r="OHM75" s="53"/>
      <c r="OHN75" s="54"/>
      <c r="OHO75" s="11"/>
      <c r="OHP75" s="14"/>
      <c r="OHQ75" s="113"/>
      <c r="OHR75" s="114"/>
      <c r="OHS75" s="115"/>
      <c r="OHT75" s="18"/>
      <c r="OHU75" s="52"/>
      <c r="OHV75" s="53"/>
      <c r="OHW75" s="54"/>
      <c r="OHX75" s="11"/>
      <c r="OHY75" s="14"/>
      <c r="OHZ75" s="113"/>
      <c r="OIA75" s="114"/>
      <c r="OIB75" s="115"/>
      <c r="OIC75" s="18"/>
      <c r="OID75" s="52"/>
      <c r="OIE75" s="53"/>
      <c r="OIF75" s="54"/>
      <c r="OIG75" s="11"/>
      <c r="OIH75" s="14"/>
      <c r="OII75" s="113"/>
      <c r="OIJ75" s="114"/>
      <c r="OIK75" s="115"/>
      <c r="OIL75" s="18"/>
      <c r="OIM75" s="52"/>
      <c r="OIN75" s="53"/>
      <c r="OIO75" s="54"/>
      <c r="OIP75" s="11"/>
      <c r="OIQ75" s="14"/>
      <c r="OIR75" s="113"/>
      <c r="OIS75" s="114"/>
      <c r="OIT75" s="115"/>
      <c r="OIU75" s="18"/>
      <c r="OIV75" s="52"/>
      <c r="OIW75" s="53"/>
      <c r="OIX75" s="54"/>
      <c r="OIY75" s="11"/>
      <c r="OIZ75" s="14"/>
      <c r="OJA75" s="113"/>
      <c r="OJB75" s="114"/>
      <c r="OJC75" s="115"/>
      <c r="OJD75" s="18"/>
      <c r="OJE75" s="52"/>
      <c r="OJF75" s="53"/>
      <c r="OJG75" s="54"/>
      <c r="OJH75" s="11"/>
      <c r="OJI75" s="14"/>
      <c r="OJJ75" s="113"/>
      <c r="OJK75" s="114"/>
      <c r="OJL75" s="115"/>
      <c r="OJM75" s="18"/>
      <c r="OJN75" s="52"/>
      <c r="OJO75" s="53"/>
      <c r="OJP75" s="54"/>
      <c r="OJQ75" s="11"/>
      <c r="OJR75" s="14"/>
      <c r="OJS75" s="113"/>
      <c r="OJT75" s="114"/>
      <c r="OJU75" s="115"/>
      <c r="OJV75" s="18"/>
      <c r="OJW75" s="52"/>
      <c r="OJX75" s="53"/>
      <c r="OJY75" s="54"/>
      <c r="OJZ75" s="11"/>
      <c r="OKA75" s="14"/>
      <c r="OKB75" s="113"/>
      <c r="OKC75" s="114"/>
      <c r="OKD75" s="115"/>
      <c r="OKE75" s="18"/>
      <c r="OKF75" s="52"/>
      <c r="OKG75" s="53"/>
      <c r="OKH75" s="54"/>
      <c r="OKI75" s="11"/>
      <c r="OKJ75" s="14"/>
      <c r="OKK75" s="113"/>
      <c r="OKL75" s="114"/>
      <c r="OKM75" s="115"/>
      <c r="OKN75" s="18"/>
      <c r="OKO75" s="52"/>
      <c r="OKP75" s="53"/>
      <c r="OKQ75" s="54"/>
      <c r="OKR75" s="11"/>
      <c r="OKS75" s="14"/>
      <c r="OKT75" s="113"/>
      <c r="OKU75" s="114"/>
      <c r="OKV75" s="115"/>
      <c r="OKW75" s="18"/>
      <c r="OKX75" s="52"/>
      <c r="OKY75" s="53"/>
      <c r="OKZ75" s="54"/>
      <c r="OLA75" s="11"/>
      <c r="OLB75" s="14"/>
      <c r="OLC75" s="113"/>
      <c r="OLD75" s="114"/>
      <c r="OLE75" s="115"/>
      <c r="OLF75" s="18"/>
      <c r="OLG75" s="52"/>
      <c r="OLH75" s="53"/>
      <c r="OLI75" s="54"/>
      <c r="OLJ75" s="11"/>
      <c r="OLK75" s="14"/>
      <c r="OLL75" s="113"/>
      <c r="OLM75" s="114"/>
      <c r="OLN75" s="115"/>
      <c r="OLO75" s="18"/>
      <c r="OLP75" s="52"/>
      <c r="OLQ75" s="53"/>
      <c r="OLR75" s="54"/>
      <c r="OLS75" s="11"/>
      <c r="OLT75" s="14"/>
      <c r="OLU75" s="113"/>
      <c r="OLV75" s="114"/>
      <c r="OLW75" s="115"/>
      <c r="OLX75" s="18"/>
      <c r="OLY75" s="52"/>
      <c r="OLZ75" s="53"/>
      <c r="OMA75" s="54"/>
      <c r="OMB75" s="11"/>
      <c r="OMC75" s="14"/>
      <c r="OMD75" s="113"/>
      <c r="OME75" s="114"/>
      <c r="OMF75" s="115"/>
      <c r="OMG75" s="18"/>
      <c r="OMH75" s="52"/>
      <c r="OMI75" s="53"/>
      <c r="OMJ75" s="54"/>
      <c r="OMK75" s="11"/>
      <c r="OML75" s="14"/>
      <c r="OMM75" s="113"/>
      <c r="OMN75" s="114"/>
      <c r="OMO75" s="115"/>
      <c r="OMP75" s="18"/>
      <c r="OMQ75" s="52"/>
      <c r="OMR75" s="53"/>
      <c r="OMS75" s="54"/>
      <c r="OMT75" s="11"/>
      <c r="OMU75" s="14"/>
      <c r="OMV75" s="113"/>
      <c r="OMW75" s="114"/>
      <c r="OMX75" s="115"/>
      <c r="OMY75" s="18"/>
      <c r="OMZ75" s="52"/>
      <c r="ONA75" s="53"/>
      <c r="ONB75" s="54"/>
      <c r="ONC75" s="11"/>
      <c r="OND75" s="14"/>
      <c r="ONE75" s="113"/>
      <c r="ONF75" s="114"/>
      <c r="ONG75" s="115"/>
      <c r="ONH75" s="18"/>
      <c r="ONI75" s="52"/>
      <c r="ONJ75" s="53"/>
      <c r="ONK75" s="54"/>
      <c r="ONL75" s="11"/>
      <c r="ONM75" s="14"/>
      <c r="ONN75" s="113"/>
      <c r="ONO75" s="114"/>
      <c r="ONP75" s="115"/>
      <c r="ONQ75" s="18"/>
      <c r="ONR75" s="52"/>
      <c r="ONS75" s="53"/>
      <c r="ONT75" s="54"/>
      <c r="ONU75" s="11"/>
      <c r="ONV75" s="14"/>
      <c r="ONW75" s="113"/>
      <c r="ONX75" s="114"/>
      <c r="ONY75" s="115"/>
      <c r="ONZ75" s="18"/>
      <c r="OOA75" s="52"/>
      <c r="OOB75" s="53"/>
      <c r="OOC75" s="54"/>
      <c r="OOD75" s="11"/>
      <c r="OOE75" s="14"/>
      <c r="OOF75" s="113"/>
      <c r="OOG75" s="114"/>
      <c r="OOH75" s="115"/>
      <c r="OOI75" s="18"/>
      <c r="OOJ75" s="52"/>
      <c r="OOK75" s="53"/>
      <c r="OOL75" s="54"/>
      <c r="OOM75" s="11"/>
      <c r="OON75" s="14"/>
      <c r="OOO75" s="113"/>
      <c r="OOP75" s="114"/>
      <c r="OOQ75" s="115"/>
      <c r="OOR75" s="18"/>
      <c r="OOS75" s="52"/>
      <c r="OOT75" s="53"/>
      <c r="OOU75" s="54"/>
      <c r="OOV75" s="11"/>
      <c r="OOW75" s="14"/>
      <c r="OOX75" s="113"/>
      <c r="OOY75" s="114"/>
      <c r="OOZ75" s="115"/>
      <c r="OPA75" s="18"/>
      <c r="OPB75" s="52"/>
      <c r="OPC75" s="53"/>
      <c r="OPD75" s="54"/>
      <c r="OPE75" s="11"/>
      <c r="OPF75" s="14"/>
      <c r="OPG75" s="113"/>
      <c r="OPH75" s="114"/>
      <c r="OPI75" s="115"/>
      <c r="OPJ75" s="18"/>
      <c r="OPK75" s="52"/>
      <c r="OPL75" s="53"/>
      <c r="OPM75" s="54"/>
      <c r="OPN75" s="11"/>
      <c r="OPO75" s="14"/>
      <c r="OPP75" s="113"/>
      <c r="OPQ75" s="114"/>
      <c r="OPR75" s="115"/>
      <c r="OPS75" s="18"/>
      <c r="OPT75" s="52"/>
      <c r="OPU75" s="53"/>
      <c r="OPV75" s="54"/>
      <c r="OPW75" s="11"/>
      <c r="OPX75" s="14"/>
      <c r="OPY75" s="113"/>
      <c r="OPZ75" s="114"/>
      <c r="OQA75" s="115"/>
      <c r="OQB75" s="18"/>
      <c r="OQC75" s="52"/>
      <c r="OQD75" s="53"/>
      <c r="OQE75" s="54"/>
      <c r="OQF75" s="11"/>
      <c r="OQG75" s="14"/>
      <c r="OQH75" s="113"/>
      <c r="OQI75" s="114"/>
      <c r="OQJ75" s="115"/>
      <c r="OQK75" s="18"/>
      <c r="OQL75" s="52"/>
      <c r="OQM75" s="53"/>
      <c r="OQN75" s="54"/>
      <c r="OQO75" s="11"/>
      <c r="OQP75" s="14"/>
      <c r="OQQ75" s="113"/>
      <c r="OQR75" s="114"/>
      <c r="OQS75" s="115"/>
      <c r="OQT75" s="18"/>
      <c r="OQU75" s="52"/>
      <c r="OQV75" s="53"/>
      <c r="OQW75" s="54"/>
      <c r="OQX75" s="11"/>
      <c r="OQY75" s="14"/>
      <c r="OQZ75" s="113"/>
      <c r="ORA75" s="114"/>
      <c r="ORB75" s="115"/>
      <c r="ORC75" s="18"/>
      <c r="ORD75" s="52"/>
      <c r="ORE75" s="53"/>
      <c r="ORF75" s="54"/>
      <c r="ORG75" s="11"/>
      <c r="ORH75" s="14"/>
      <c r="ORI75" s="113"/>
      <c r="ORJ75" s="114"/>
      <c r="ORK75" s="115"/>
      <c r="ORL75" s="18"/>
      <c r="ORM75" s="52"/>
      <c r="ORN75" s="53"/>
      <c r="ORO75" s="54"/>
      <c r="ORP75" s="11"/>
      <c r="ORQ75" s="14"/>
      <c r="ORR75" s="113"/>
      <c r="ORS75" s="114"/>
      <c r="ORT75" s="115"/>
      <c r="ORU75" s="18"/>
      <c r="ORV75" s="52"/>
      <c r="ORW75" s="53"/>
      <c r="ORX75" s="54"/>
      <c r="ORY75" s="11"/>
      <c r="ORZ75" s="14"/>
      <c r="OSA75" s="113"/>
      <c r="OSB75" s="114"/>
      <c r="OSC75" s="115"/>
      <c r="OSD75" s="18"/>
      <c r="OSE75" s="52"/>
      <c r="OSF75" s="53"/>
      <c r="OSG75" s="54"/>
      <c r="OSH75" s="11"/>
      <c r="OSI75" s="14"/>
      <c r="OSJ75" s="113"/>
      <c r="OSK75" s="114"/>
      <c r="OSL75" s="115"/>
      <c r="OSM75" s="18"/>
      <c r="OSN75" s="52"/>
      <c r="OSO75" s="53"/>
      <c r="OSP75" s="54"/>
      <c r="OSQ75" s="11"/>
      <c r="OSR75" s="14"/>
      <c r="OSS75" s="113"/>
      <c r="OST75" s="114"/>
      <c r="OSU75" s="115"/>
      <c r="OSV75" s="18"/>
      <c r="OSW75" s="52"/>
      <c r="OSX75" s="53"/>
      <c r="OSY75" s="54"/>
      <c r="OSZ75" s="11"/>
      <c r="OTA75" s="14"/>
      <c r="OTB75" s="113"/>
      <c r="OTC75" s="114"/>
      <c r="OTD75" s="115"/>
      <c r="OTE75" s="18"/>
      <c r="OTF75" s="52"/>
      <c r="OTG75" s="53"/>
      <c r="OTH75" s="54"/>
      <c r="OTI75" s="11"/>
      <c r="OTJ75" s="14"/>
      <c r="OTK75" s="113"/>
      <c r="OTL75" s="114"/>
      <c r="OTM75" s="115"/>
      <c r="OTN75" s="18"/>
      <c r="OTO75" s="52"/>
      <c r="OTP75" s="53"/>
      <c r="OTQ75" s="54"/>
      <c r="OTR75" s="11"/>
      <c r="OTS75" s="14"/>
      <c r="OTT75" s="113"/>
      <c r="OTU75" s="114"/>
      <c r="OTV75" s="115"/>
      <c r="OTW75" s="18"/>
      <c r="OTX75" s="52"/>
      <c r="OTY75" s="53"/>
      <c r="OTZ75" s="54"/>
      <c r="OUA75" s="11"/>
      <c r="OUB75" s="14"/>
      <c r="OUC75" s="113"/>
      <c r="OUD75" s="114"/>
      <c r="OUE75" s="115"/>
      <c r="OUF75" s="18"/>
      <c r="OUG75" s="52"/>
      <c r="OUH75" s="53"/>
      <c r="OUI75" s="54"/>
      <c r="OUJ75" s="11"/>
      <c r="OUK75" s="14"/>
      <c r="OUL75" s="113"/>
      <c r="OUM75" s="114"/>
      <c r="OUN75" s="115"/>
      <c r="OUO75" s="18"/>
      <c r="OUP75" s="52"/>
      <c r="OUQ75" s="53"/>
      <c r="OUR75" s="54"/>
      <c r="OUS75" s="11"/>
      <c r="OUT75" s="14"/>
      <c r="OUU75" s="113"/>
      <c r="OUV75" s="114"/>
      <c r="OUW75" s="115"/>
      <c r="OUX75" s="18"/>
      <c r="OUY75" s="52"/>
      <c r="OUZ75" s="53"/>
      <c r="OVA75" s="54"/>
      <c r="OVB75" s="11"/>
      <c r="OVC75" s="14"/>
      <c r="OVD75" s="113"/>
      <c r="OVE75" s="114"/>
      <c r="OVF75" s="115"/>
      <c r="OVG75" s="18"/>
      <c r="OVH75" s="52"/>
      <c r="OVI75" s="53"/>
      <c r="OVJ75" s="54"/>
      <c r="OVK75" s="11"/>
      <c r="OVL75" s="14"/>
      <c r="OVM75" s="113"/>
      <c r="OVN75" s="114"/>
      <c r="OVO75" s="115"/>
      <c r="OVP75" s="18"/>
      <c r="OVQ75" s="52"/>
      <c r="OVR75" s="53"/>
      <c r="OVS75" s="54"/>
      <c r="OVT75" s="11"/>
      <c r="OVU75" s="14"/>
      <c r="OVV75" s="113"/>
      <c r="OVW75" s="114"/>
      <c r="OVX75" s="115"/>
      <c r="OVY75" s="18"/>
      <c r="OVZ75" s="52"/>
      <c r="OWA75" s="53"/>
      <c r="OWB75" s="54"/>
      <c r="OWC75" s="11"/>
      <c r="OWD75" s="14"/>
      <c r="OWE75" s="113"/>
      <c r="OWF75" s="114"/>
      <c r="OWG75" s="115"/>
      <c r="OWH75" s="18"/>
      <c r="OWI75" s="52"/>
      <c r="OWJ75" s="53"/>
      <c r="OWK75" s="54"/>
      <c r="OWL75" s="11"/>
      <c r="OWM75" s="14"/>
      <c r="OWN75" s="113"/>
      <c r="OWO75" s="114"/>
      <c r="OWP75" s="115"/>
      <c r="OWQ75" s="18"/>
      <c r="OWR75" s="52"/>
      <c r="OWS75" s="53"/>
      <c r="OWT75" s="54"/>
      <c r="OWU75" s="11"/>
      <c r="OWV75" s="14"/>
      <c r="OWW75" s="113"/>
      <c r="OWX75" s="114"/>
      <c r="OWY75" s="115"/>
      <c r="OWZ75" s="18"/>
      <c r="OXA75" s="52"/>
      <c r="OXB75" s="53"/>
      <c r="OXC75" s="54"/>
      <c r="OXD75" s="11"/>
      <c r="OXE75" s="14"/>
      <c r="OXF75" s="113"/>
      <c r="OXG75" s="114"/>
      <c r="OXH75" s="115"/>
      <c r="OXI75" s="18"/>
      <c r="OXJ75" s="52"/>
      <c r="OXK75" s="53"/>
      <c r="OXL75" s="54"/>
      <c r="OXM75" s="11"/>
      <c r="OXN75" s="14"/>
      <c r="OXO75" s="113"/>
      <c r="OXP75" s="114"/>
      <c r="OXQ75" s="115"/>
      <c r="OXR75" s="18"/>
      <c r="OXS75" s="52"/>
      <c r="OXT75" s="53"/>
      <c r="OXU75" s="54"/>
      <c r="OXV75" s="11"/>
      <c r="OXW75" s="14"/>
      <c r="OXX75" s="113"/>
      <c r="OXY75" s="114"/>
      <c r="OXZ75" s="115"/>
      <c r="OYA75" s="18"/>
      <c r="OYB75" s="52"/>
      <c r="OYC75" s="53"/>
      <c r="OYD75" s="54"/>
      <c r="OYE75" s="11"/>
      <c r="OYF75" s="14"/>
      <c r="OYG75" s="113"/>
      <c r="OYH75" s="114"/>
      <c r="OYI75" s="115"/>
      <c r="OYJ75" s="18"/>
      <c r="OYK75" s="52"/>
      <c r="OYL75" s="53"/>
      <c r="OYM75" s="54"/>
      <c r="OYN75" s="11"/>
      <c r="OYO75" s="14"/>
      <c r="OYP75" s="113"/>
      <c r="OYQ75" s="114"/>
      <c r="OYR75" s="115"/>
      <c r="OYS75" s="18"/>
      <c r="OYT75" s="52"/>
      <c r="OYU75" s="53"/>
      <c r="OYV75" s="54"/>
      <c r="OYW75" s="11"/>
      <c r="OYX75" s="14"/>
      <c r="OYY75" s="113"/>
      <c r="OYZ75" s="114"/>
      <c r="OZA75" s="115"/>
      <c r="OZB75" s="18"/>
      <c r="OZC75" s="52"/>
      <c r="OZD75" s="53"/>
      <c r="OZE75" s="54"/>
      <c r="OZF75" s="11"/>
      <c r="OZG75" s="14"/>
      <c r="OZH75" s="113"/>
      <c r="OZI75" s="114"/>
      <c r="OZJ75" s="115"/>
      <c r="OZK75" s="18"/>
      <c r="OZL75" s="52"/>
      <c r="OZM75" s="53"/>
      <c r="OZN75" s="54"/>
      <c r="OZO75" s="11"/>
      <c r="OZP75" s="14"/>
      <c r="OZQ75" s="113"/>
      <c r="OZR75" s="114"/>
      <c r="OZS75" s="115"/>
      <c r="OZT75" s="18"/>
      <c r="OZU75" s="52"/>
      <c r="OZV75" s="53"/>
      <c r="OZW75" s="54"/>
      <c r="OZX75" s="11"/>
      <c r="OZY75" s="14"/>
      <c r="OZZ75" s="113"/>
      <c r="PAA75" s="114"/>
      <c r="PAB75" s="115"/>
      <c r="PAC75" s="18"/>
      <c r="PAD75" s="52"/>
      <c r="PAE75" s="53"/>
      <c r="PAF75" s="54"/>
      <c r="PAG75" s="11"/>
      <c r="PAH75" s="14"/>
      <c r="PAI75" s="113"/>
      <c r="PAJ75" s="114"/>
      <c r="PAK75" s="115"/>
      <c r="PAL75" s="18"/>
      <c r="PAM75" s="52"/>
      <c r="PAN75" s="53"/>
      <c r="PAO75" s="54"/>
      <c r="PAP75" s="11"/>
      <c r="PAQ75" s="14"/>
      <c r="PAR75" s="113"/>
      <c r="PAS75" s="114"/>
      <c r="PAT75" s="115"/>
      <c r="PAU75" s="18"/>
      <c r="PAV75" s="52"/>
      <c r="PAW75" s="53"/>
      <c r="PAX75" s="54"/>
      <c r="PAY75" s="11"/>
      <c r="PAZ75" s="14"/>
      <c r="PBA75" s="113"/>
      <c r="PBB75" s="114"/>
      <c r="PBC75" s="115"/>
      <c r="PBD75" s="18"/>
      <c r="PBE75" s="52"/>
      <c r="PBF75" s="53"/>
      <c r="PBG75" s="54"/>
      <c r="PBH75" s="11"/>
      <c r="PBI75" s="14"/>
      <c r="PBJ75" s="113"/>
      <c r="PBK75" s="114"/>
      <c r="PBL75" s="115"/>
      <c r="PBM75" s="18"/>
      <c r="PBN75" s="52"/>
      <c r="PBO75" s="53"/>
      <c r="PBP75" s="54"/>
      <c r="PBQ75" s="11"/>
      <c r="PBR75" s="14"/>
      <c r="PBS75" s="113"/>
      <c r="PBT75" s="114"/>
      <c r="PBU75" s="115"/>
      <c r="PBV75" s="18"/>
      <c r="PBW75" s="52"/>
      <c r="PBX75" s="53"/>
      <c r="PBY75" s="54"/>
      <c r="PBZ75" s="11"/>
      <c r="PCA75" s="14"/>
      <c r="PCB75" s="113"/>
      <c r="PCC75" s="114"/>
      <c r="PCD75" s="115"/>
      <c r="PCE75" s="18"/>
      <c r="PCF75" s="52"/>
      <c r="PCG75" s="53"/>
      <c r="PCH75" s="54"/>
      <c r="PCI75" s="11"/>
      <c r="PCJ75" s="14"/>
      <c r="PCK75" s="113"/>
      <c r="PCL75" s="114"/>
      <c r="PCM75" s="115"/>
      <c r="PCN75" s="18"/>
      <c r="PCO75" s="52"/>
      <c r="PCP75" s="53"/>
      <c r="PCQ75" s="54"/>
      <c r="PCR75" s="11"/>
      <c r="PCS75" s="14"/>
      <c r="PCT75" s="113"/>
      <c r="PCU75" s="114"/>
      <c r="PCV75" s="115"/>
      <c r="PCW75" s="18"/>
      <c r="PCX75" s="52"/>
      <c r="PCY75" s="53"/>
      <c r="PCZ75" s="54"/>
      <c r="PDA75" s="11"/>
      <c r="PDB75" s="14"/>
      <c r="PDC75" s="113"/>
      <c r="PDD75" s="114"/>
      <c r="PDE75" s="115"/>
      <c r="PDF75" s="18"/>
      <c r="PDG75" s="52"/>
      <c r="PDH75" s="53"/>
      <c r="PDI75" s="54"/>
      <c r="PDJ75" s="11"/>
      <c r="PDK75" s="14"/>
      <c r="PDL75" s="113"/>
      <c r="PDM75" s="114"/>
      <c r="PDN75" s="115"/>
      <c r="PDO75" s="18"/>
      <c r="PDP75" s="52"/>
      <c r="PDQ75" s="53"/>
      <c r="PDR75" s="54"/>
      <c r="PDS75" s="11"/>
      <c r="PDT75" s="14"/>
      <c r="PDU75" s="113"/>
      <c r="PDV75" s="114"/>
      <c r="PDW75" s="115"/>
      <c r="PDX75" s="18"/>
      <c r="PDY75" s="52"/>
      <c r="PDZ75" s="53"/>
      <c r="PEA75" s="54"/>
      <c r="PEB75" s="11"/>
      <c r="PEC75" s="14"/>
      <c r="PED75" s="113"/>
      <c r="PEE75" s="114"/>
      <c r="PEF75" s="115"/>
      <c r="PEG75" s="18"/>
      <c r="PEH75" s="52"/>
      <c r="PEI75" s="53"/>
      <c r="PEJ75" s="54"/>
      <c r="PEK75" s="11"/>
      <c r="PEL75" s="14"/>
      <c r="PEM75" s="113"/>
      <c r="PEN75" s="114"/>
      <c r="PEO75" s="115"/>
      <c r="PEP75" s="18"/>
      <c r="PEQ75" s="52"/>
      <c r="PER75" s="53"/>
      <c r="PES75" s="54"/>
      <c r="PET75" s="11"/>
      <c r="PEU75" s="14"/>
      <c r="PEV75" s="113"/>
      <c r="PEW75" s="114"/>
      <c r="PEX75" s="115"/>
      <c r="PEY75" s="18"/>
      <c r="PEZ75" s="52"/>
      <c r="PFA75" s="53"/>
      <c r="PFB75" s="54"/>
      <c r="PFC75" s="11"/>
      <c r="PFD75" s="14"/>
      <c r="PFE75" s="113"/>
      <c r="PFF75" s="114"/>
      <c r="PFG75" s="115"/>
      <c r="PFH75" s="18"/>
      <c r="PFI75" s="52"/>
      <c r="PFJ75" s="53"/>
      <c r="PFK75" s="54"/>
      <c r="PFL75" s="11"/>
      <c r="PFM75" s="14"/>
      <c r="PFN75" s="113"/>
      <c r="PFO75" s="114"/>
      <c r="PFP75" s="115"/>
      <c r="PFQ75" s="18"/>
      <c r="PFR75" s="52"/>
      <c r="PFS75" s="53"/>
      <c r="PFT75" s="54"/>
      <c r="PFU75" s="11"/>
      <c r="PFV75" s="14"/>
      <c r="PFW75" s="113"/>
      <c r="PFX75" s="114"/>
      <c r="PFY75" s="115"/>
      <c r="PFZ75" s="18"/>
      <c r="PGA75" s="52"/>
      <c r="PGB75" s="53"/>
      <c r="PGC75" s="54"/>
      <c r="PGD75" s="11"/>
      <c r="PGE75" s="14"/>
      <c r="PGF75" s="113"/>
      <c r="PGG75" s="114"/>
      <c r="PGH75" s="115"/>
      <c r="PGI75" s="18"/>
      <c r="PGJ75" s="52"/>
      <c r="PGK75" s="53"/>
      <c r="PGL75" s="54"/>
      <c r="PGM75" s="11"/>
      <c r="PGN75" s="14"/>
      <c r="PGO75" s="113"/>
      <c r="PGP75" s="114"/>
      <c r="PGQ75" s="115"/>
      <c r="PGR75" s="18"/>
      <c r="PGS75" s="52"/>
      <c r="PGT75" s="53"/>
      <c r="PGU75" s="54"/>
      <c r="PGV75" s="11"/>
      <c r="PGW75" s="14"/>
      <c r="PGX75" s="113"/>
      <c r="PGY75" s="114"/>
      <c r="PGZ75" s="115"/>
      <c r="PHA75" s="18"/>
      <c r="PHB75" s="52"/>
      <c r="PHC75" s="53"/>
      <c r="PHD75" s="54"/>
      <c r="PHE75" s="11"/>
      <c r="PHF75" s="14"/>
      <c r="PHG75" s="113"/>
      <c r="PHH75" s="114"/>
      <c r="PHI75" s="115"/>
      <c r="PHJ75" s="18"/>
      <c r="PHK75" s="52"/>
      <c r="PHL75" s="53"/>
      <c r="PHM75" s="54"/>
      <c r="PHN75" s="11"/>
      <c r="PHO75" s="14"/>
      <c r="PHP75" s="113"/>
      <c r="PHQ75" s="114"/>
      <c r="PHR75" s="115"/>
      <c r="PHS75" s="18"/>
      <c r="PHT75" s="52"/>
      <c r="PHU75" s="53"/>
      <c r="PHV75" s="54"/>
      <c r="PHW75" s="11"/>
      <c r="PHX75" s="14"/>
      <c r="PHY75" s="113"/>
      <c r="PHZ75" s="114"/>
      <c r="PIA75" s="115"/>
      <c r="PIB75" s="18"/>
      <c r="PIC75" s="52"/>
      <c r="PID75" s="53"/>
      <c r="PIE75" s="54"/>
      <c r="PIF75" s="11"/>
      <c r="PIG75" s="14"/>
      <c r="PIH75" s="113"/>
      <c r="PII75" s="114"/>
      <c r="PIJ75" s="115"/>
      <c r="PIK75" s="18"/>
      <c r="PIL75" s="52"/>
      <c r="PIM75" s="53"/>
      <c r="PIN75" s="54"/>
      <c r="PIO75" s="11"/>
      <c r="PIP75" s="14"/>
      <c r="PIQ75" s="113"/>
      <c r="PIR75" s="114"/>
      <c r="PIS75" s="115"/>
      <c r="PIT75" s="18"/>
      <c r="PIU75" s="52"/>
      <c r="PIV75" s="53"/>
      <c r="PIW75" s="54"/>
      <c r="PIX75" s="11"/>
      <c r="PIY75" s="14"/>
      <c r="PIZ75" s="113"/>
      <c r="PJA75" s="114"/>
      <c r="PJB75" s="115"/>
      <c r="PJC75" s="18"/>
      <c r="PJD75" s="52"/>
      <c r="PJE75" s="53"/>
      <c r="PJF75" s="54"/>
      <c r="PJG75" s="11"/>
      <c r="PJH75" s="14"/>
      <c r="PJI75" s="113"/>
      <c r="PJJ75" s="114"/>
      <c r="PJK75" s="115"/>
      <c r="PJL75" s="18"/>
      <c r="PJM75" s="52"/>
      <c r="PJN75" s="53"/>
      <c r="PJO75" s="54"/>
      <c r="PJP75" s="11"/>
      <c r="PJQ75" s="14"/>
      <c r="PJR75" s="113"/>
      <c r="PJS75" s="114"/>
      <c r="PJT75" s="115"/>
      <c r="PJU75" s="18"/>
      <c r="PJV75" s="52"/>
      <c r="PJW75" s="53"/>
      <c r="PJX75" s="54"/>
      <c r="PJY75" s="11"/>
      <c r="PJZ75" s="14"/>
      <c r="PKA75" s="113"/>
      <c r="PKB75" s="114"/>
      <c r="PKC75" s="115"/>
      <c r="PKD75" s="18"/>
      <c r="PKE75" s="52"/>
      <c r="PKF75" s="53"/>
      <c r="PKG75" s="54"/>
      <c r="PKH75" s="11"/>
      <c r="PKI75" s="14"/>
      <c r="PKJ75" s="113"/>
      <c r="PKK75" s="114"/>
      <c r="PKL75" s="115"/>
      <c r="PKM75" s="18"/>
      <c r="PKN75" s="52"/>
      <c r="PKO75" s="53"/>
      <c r="PKP75" s="54"/>
      <c r="PKQ75" s="11"/>
      <c r="PKR75" s="14"/>
      <c r="PKS75" s="113"/>
      <c r="PKT75" s="114"/>
      <c r="PKU75" s="115"/>
      <c r="PKV75" s="18"/>
      <c r="PKW75" s="52"/>
      <c r="PKX75" s="53"/>
      <c r="PKY75" s="54"/>
      <c r="PKZ75" s="11"/>
      <c r="PLA75" s="14"/>
      <c r="PLB75" s="113"/>
      <c r="PLC75" s="114"/>
      <c r="PLD75" s="115"/>
      <c r="PLE75" s="18"/>
      <c r="PLF75" s="52"/>
      <c r="PLG75" s="53"/>
      <c r="PLH75" s="54"/>
      <c r="PLI75" s="11"/>
      <c r="PLJ75" s="14"/>
      <c r="PLK75" s="113"/>
      <c r="PLL75" s="114"/>
      <c r="PLM75" s="115"/>
      <c r="PLN75" s="18"/>
      <c r="PLO75" s="52"/>
      <c r="PLP75" s="53"/>
      <c r="PLQ75" s="54"/>
      <c r="PLR75" s="11"/>
      <c r="PLS75" s="14"/>
      <c r="PLT75" s="113"/>
      <c r="PLU75" s="114"/>
      <c r="PLV75" s="115"/>
      <c r="PLW75" s="18"/>
      <c r="PLX75" s="52"/>
      <c r="PLY75" s="53"/>
      <c r="PLZ75" s="54"/>
      <c r="PMA75" s="11"/>
      <c r="PMB75" s="14"/>
      <c r="PMC75" s="113"/>
      <c r="PMD75" s="114"/>
      <c r="PME75" s="115"/>
      <c r="PMF75" s="18"/>
      <c r="PMG75" s="52"/>
      <c r="PMH75" s="53"/>
      <c r="PMI75" s="54"/>
      <c r="PMJ75" s="11"/>
      <c r="PMK75" s="14"/>
      <c r="PML75" s="113"/>
      <c r="PMM75" s="114"/>
      <c r="PMN75" s="115"/>
      <c r="PMO75" s="18"/>
      <c r="PMP75" s="52"/>
      <c r="PMQ75" s="53"/>
      <c r="PMR75" s="54"/>
      <c r="PMS75" s="11"/>
      <c r="PMT75" s="14"/>
      <c r="PMU75" s="113"/>
      <c r="PMV75" s="114"/>
      <c r="PMW75" s="115"/>
      <c r="PMX75" s="18"/>
      <c r="PMY75" s="52"/>
      <c r="PMZ75" s="53"/>
      <c r="PNA75" s="54"/>
      <c r="PNB75" s="11"/>
      <c r="PNC75" s="14"/>
      <c r="PND75" s="113"/>
      <c r="PNE75" s="114"/>
      <c r="PNF75" s="115"/>
      <c r="PNG75" s="18"/>
      <c r="PNH75" s="52"/>
      <c r="PNI75" s="53"/>
      <c r="PNJ75" s="54"/>
      <c r="PNK75" s="11"/>
      <c r="PNL75" s="14"/>
      <c r="PNM75" s="113"/>
      <c r="PNN75" s="114"/>
      <c r="PNO75" s="115"/>
      <c r="PNP75" s="18"/>
      <c r="PNQ75" s="52"/>
      <c r="PNR75" s="53"/>
      <c r="PNS75" s="54"/>
      <c r="PNT75" s="11"/>
      <c r="PNU75" s="14"/>
      <c r="PNV75" s="113"/>
      <c r="PNW75" s="114"/>
      <c r="PNX75" s="115"/>
      <c r="PNY75" s="18"/>
      <c r="PNZ75" s="52"/>
      <c r="POA75" s="53"/>
      <c r="POB75" s="54"/>
      <c r="POC75" s="11"/>
      <c r="POD75" s="14"/>
      <c r="POE75" s="113"/>
      <c r="POF75" s="114"/>
      <c r="POG75" s="115"/>
      <c r="POH75" s="18"/>
      <c r="POI75" s="52"/>
      <c r="POJ75" s="53"/>
      <c r="POK75" s="54"/>
      <c r="POL75" s="11"/>
      <c r="POM75" s="14"/>
      <c r="PON75" s="113"/>
      <c r="POO75" s="114"/>
      <c r="POP75" s="115"/>
      <c r="POQ75" s="18"/>
      <c r="POR75" s="52"/>
      <c r="POS75" s="53"/>
      <c r="POT75" s="54"/>
      <c r="POU75" s="11"/>
      <c r="POV75" s="14"/>
      <c r="POW75" s="113"/>
      <c r="POX75" s="114"/>
      <c r="POY75" s="115"/>
      <c r="POZ75" s="18"/>
      <c r="PPA75" s="52"/>
      <c r="PPB75" s="53"/>
      <c r="PPC75" s="54"/>
      <c r="PPD75" s="11"/>
      <c r="PPE75" s="14"/>
      <c r="PPF75" s="113"/>
      <c r="PPG75" s="114"/>
      <c r="PPH75" s="115"/>
      <c r="PPI75" s="18"/>
      <c r="PPJ75" s="52"/>
      <c r="PPK75" s="53"/>
      <c r="PPL75" s="54"/>
      <c r="PPM75" s="11"/>
      <c r="PPN75" s="14"/>
      <c r="PPO75" s="113"/>
      <c r="PPP75" s="114"/>
      <c r="PPQ75" s="115"/>
      <c r="PPR75" s="18"/>
      <c r="PPS75" s="52"/>
      <c r="PPT75" s="53"/>
      <c r="PPU75" s="54"/>
      <c r="PPV75" s="11"/>
      <c r="PPW75" s="14"/>
      <c r="PPX75" s="113"/>
      <c r="PPY75" s="114"/>
      <c r="PPZ75" s="115"/>
      <c r="PQA75" s="18"/>
      <c r="PQB75" s="52"/>
      <c r="PQC75" s="53"/>
      <c r="PQD75" s="54"/>
      <c r="PQE75" s="11"/>
      <c r="PQF75" s="14"/>
      <c r="PQG75" s="113"/>
      <c r="PQH75" s="114"/>
      <c r="PQI75" s="115"/>
      <c r="PQJ75" s="18"/>
      <c r="PQK75" s="52"/>
      <c r="PQL75" s="53"/>
      <c r="PQM75" s="54"/>
      <c r="PQN75" s="11"/>
      <c r="PQO75" s="14"/>
      <c r="PQP75" s="113"/>
      <c r="PQQ75" s="114"/>
      <c r="PQR75" s="115"/>
      <c r="PQS75" s="18"/>
      <c r="PQT75" s="52"/>
      <c r="PQU75" s="53"/>
      <c r="PQV75" s="54"/>
      <c r="PQW75" s="11"/>
      <c r="PQX75" s="14"/>
      <c r="PQY75" s="113"/>
      <c r="PQZ75" s="114"/>
      <c r="PRA75" s="115"/>
      <c r="PRB75" s="18"/>
      <c r="PRC75" s="52"/>
      <c r="PRD75" s="53"/>
      <c r="PRE75" s="54"/>
      <c r="PRF75" s="11"/>
      <c r="PRG75" s="14"/>
      <c r="PRH75" s="113"/>
      <c r="PRI75" s="114"/>
      <c r="PRJ75" s="115"/>
      <c r="PRK75" s="18"/>
      <c r="PRL75" s="52"/>
      <c r="PRM75" s="53"/>
      <c r="PRN75" s="54"/>
      <c r="PRO75" s="11"/>
      <c r="PRP75" s="14"/>
      <c r="PRQ75" s="113"/>
      <c r="PRR75" s="114"/>
      <c r="PRS75" s="115"/>
      <c r="PRT75" s="18"/>
      <c r="PRU75" s="52"/>
      <c r="PRV75" s="53"/>
      <c r="PRW75" s="54"/>
      <c r="PRX75" s="11"/>
      <c r="PRY75" s="14"/>
      <c r="PRZ75" s="113"/>
      <c r="PSA75" s="114"/>
      <c r="PSB75" s="115"/>
      <c r="PSC75" s="18"/>
      <c r="PSD75" s="52"/>
      <c r="PSE75" s="53"/>
      <c r="PSF75" s="54"/>
      <c r="PSG75" s="11"/>
      <c r="PSH75" s="14"/>
      <c r="PSI75" s="113"/>
      <c r="PSJ75" s="114"/>
      <c r="PSK75" s="115"/>
      <c r="PSL75" s="18"/>
      <c r="PSM75" s="52"/>
      <c r="PSN75" s="53"/>
      <c r="PSO75" s="54"/>
      <c r="PSP75" s="11"/>
      <c r="PSQ75" s="14"/>
      <c r="PSR75" s="113"/>
      <c r="PSS75" s="114"/>
      <c r="PST75" s="115"/>
      <c r="PSU75" s="18"/>
      <c r="PSV75" s="52"/>
      <c r="PSW75" s="53"/>
      <c r="PSX75" s="54"/>
      <c r="PSY75" s="11"/>
      <c r="PSZ75" s="14"/>
      <c r="PTA75" s="113"/>
      <c r="PTB75" s="114"/>
      <c r="PTC75" s="115"/>
      <c r="PTD75" s="18"/>
      <c r="PTE75" s="52"/>
      <c r="PTF75" s="53"/>
      <c r="PTG75" s="54"/>
      <c r="PTH75" s="11"/>
      <c r="PTI75" s="14"/>
      <c r="PTJ75" s="113"/>
      <c r="PTK75" s="114"/>
      <c r="PTL75" s="115"/>
      <c r="PTM75" s="18"/>
      <c r="PTN75" s="52"/>
      <c r="PTO75" s="53"/>
      <c r="PTP75" s="54"/>
      <c r="PTQ75" s="11"/>
      <c r="PTR75" s="14"/>
      <c r="PTS75" s="113"/>
      <c r="PTT75" s="114"/>
      <c r="PTU75" s="115"/>
      <c r="PTV75" s="18"/>
      <c r="PTW75" s="52"/>
      <c r="PTX75" s="53"/>
      <c r="PTY75" s="54"/>
      <c r="PTZ75" s="11"/>
      <c r="PUA75" s="14"/>
      <c r="PUB75" s="113"/>
      <c r="PUC75" s="114"/>
      <c r="PUD75" s="115"/>
      <c r="PUE75" s="18"/>
      <c r="PUF75" s="52"/>
      <c r="PUG75" s="53"/>
      <c r="PUH75" s="54"/>
      <c r="PUI75" s="11"/>
      <c r="PUJ75" s="14"/>
      <c r="PUK75" s="113"/>
      <c r="PUL75" s="114"/>
      <c r="PUM75" s="115"/>
      <c r="PUN75" s="18"/>
      <c r="PUO75" s="52"/>
      <c r="PUP75" s="53"/>
      <c r="PUQ75" s="54"/>
      <c r="PUR75" s="11"/>
      <c r="PUS75" s="14"/>
      <c r="PUT75" s="113"/>
      <c r="PUU75" s="114"/>
      <c r="PUV75" s="115"/>
      <c r="PUW75" s="18"/>
      <c r="PUX75" s="52"/>
      <c r="PUY75" s="53"/>
      <c r="PUZ75" s="54"/>
      <c r="PVA75" s="11"/>
      <c r="PVB75" s="14"/>
      <c r="PVC75" s="113"/>
      <c r="PVD75" s="114"/>
      <c r="PVE75" s="115"/>
      <c r="PVF75" s="18"/>
      <c r="PVG75" s="52"/>
      <c r="PVH75" s="53"/>
      <c r="PVI75" s="54"/>
      <c r="PVJ75" s="11"/>
      <c r="PVK75" s="14"/>
      <c r="PVL75" s="113"/>
      <c r="PVM75" s="114"/>
      <c r="PVN75" s="115"/>
      <c r="PVO75" s="18"/>
      <c r="PVP75" s="52"/>
      <c r="PVQ75" s="53"/>
      <c r="PVR75" s="54"/>
      <c r="PVS75" s="11"/>
      <c r="PVT75" s="14"/>
      <c r="PVU75" s="113"/>
      <c r="PVV75" s="114"/>
      <c r="PVW75" s="115"/>
      <c r="PVX75" s="18"/>
      <c r="PVY75" s="52"/>
      <c r="PVZ75" s="53"/>
      <c r="PWA75" s="54"/>
      <c r="PWB75" s="11"/>
      <c r="PWC75" s="14"/>
      <c r="PWD75" s="113"/>
      <c r="PWE75" s="114"/>
      <c r="PWF75" s="115"/>
      <c r="PWG75" s="18"/>
      <c r="PWH75" s="52"/>
      <c r="PWI75" s="53"/>
      <c r="PWJ75" s="54"/>
      <c r="PWK75" s="11"/>
      <c r="PWL75" s="14"/>
      <c r="PWM75" s="113"/>
      <c r="PWN75" s="114"/>
      <c r="PWO75" s="115"/>
      <c r="PWP75" s="18"/>
      <c r="PWQ75" s="52"/>
      <c r="PWR75" s="53"/>
      <c r="PWS75" s="54"/>
      <c r="PWT75" s="11"/>
      <c r="PWU75" s="14"/>
      <c r="PWV75" s="113"/>
      <c r="PWW75" s="114"/>
      <c r="PWX75" s="115"/>
      <c r="PWY75" s="18"/>
      <c r="PWZ75" s="52"/>
      <c r="PXA75" s="53"/>
      <c r="PXB75" s="54"/>
      <c r="PXC75" s="11"/>
      <c r="PXD75" s="14"/>
      <c r="PXE75" s="113"/>
      <c r="PXF75" s="114"/>
      <c r="PXG75" s="115"/>
      <c r="PXH75" s="18"/>
      <c r="PXI75" s="52"/>
      <c r="PXJ75" s="53"/>
      <c r="PXK75" s="54"/>
      <c r="PXL75" s="11"/>
      <c r="PXM75" s="14"/>
      <c r="PXN75" s="113"/>
      <c r="PXO75" s="114"/>
      <c r="PXP75" s="115"/>
      <c r="PXQ75" s="18"/>
      <c r="PXR75" s="52"/>
      <c r="PXS75" s="53"/>
      <c r="PXT75" s="54"/>
      <c r="PXU75" s="11"/>
      <c r="PXV75" s="14"/>
      <c r="PXW75" s="113"/>
      <c r="PXX75" s="114"/>
      <c r="PXY75" s="115"/>
      <c r="PXZ75" s="18"/>
      <c r="PYA75" s="52"/>
      <c r="PYB75" s="53"/>
      <c r="PYC75" s="54"/>
      <c r="PYD75" s="11"/>
      <c r="PYE75" s="14"/>
      <c r="PYF75" s="113"/>
      <c r="PYG75" s="114"/>
      <c r="PYH75" s="115"/>
      <c r="PYI75" s="18"/>
      <c r="PYJ75" s="52"/>
      <c r="PYK75" s="53"/>
      <c r="PYL75" s="54"/>
      <c r="PYM75" s="11"/>
      <c r="PYN75" s="14"/>
      <c r="PYO75" s="113"/>
      <c r="PYP75" s="114"/>
      <c r="PYQ75" s="115"/>
      <c r="PYR75" s="18"/>
      <c r="PYS75" s="52"/>
      <c r="PYT75" s="53"/>
      <c r="PYU75" s="54"/>
      <c r="PYV75" s="11"/>
      <c r="PYW75" s="14"/>
      <c r="PYX75" s="113"/>
      <c r="PYY75" s="114"/>
      <c r="PYZ75" s="115"/>
      <c r="PZA75" s="18"/>
      <c r="PZB75" s="52"/>
      <c r="PZC75" s="53"/>
      <c r="PZD75" s="54"/>
      <c r="PZE75" s="11"/>
      <c r="PZF75" s="14"/>
      <c r="PZG75" s="113"/>
      <c r="PZH75" s="114"/>
      <c r="PZI75" s="115"/>
      <c r="PZJ75" s="18"/>
      <c r="PZK75" s="52"/>
      <c r="PZL75" s="53"/>
      <c r="PZM75" s="54"/>
      <c r="PZN75" s="11"/>
      <c r="PZO75" s="14"/>
      <c r="PZP75" s="113"/>
      <c r="PZQ75" s="114"/>
      <c r="PZR75" s="115"/>
      <c r="PZS75" s="18"/>
      <c r="PZT75" s="52"/>
      <c r="PZU75" s="53"/>
      <c r="PZV75" s="54"/>
      <c r="PZW75" s="11"/>
      <c r="PZX75" s="14"/>
      <c r="PZY75" s="113"/>
      <c r="PZZ75" s="114"/>
      <c r="QAA75" s="115"/>
      <c r="QAB75" s="18"/>
      <c r="QAC75" s="52"/>
      <c r="QAD75" s="53"/>
      <c r="QAE75" s="54"/>
      <c r="QAF75" s="11"/>
      <c r="QAG75" s="14"/>
      <c r="QAH75" s="113"/>
      <c r="QAI75" s="114"/>
      <c r="QAJ75" s="115"/>
      <c r="QAK75" s="18"/>
      <c r="QAL75" s="52"/>
      <c r="QAM75" s="53"/>
      <c r="QAN75" s="54"/>
      <c r="QAO75" s="11"/>
      <c r="QAP75" s="14"/>
      <c r="QAQ75" s="113"/>
      <c r="QAR75" s="114"/>
      <c r="QAS75" s="115"/>
      <c r="QAT75" s="18"/>
      <c r="QAU75" s="52"/>
      <c r="QAV75" s="53"/>
      <c r="QAW75" s="54"/>
      <c r="QAX75" s="11"/>
      <c r="QAY75" s="14"/>
      <c r="QAZ75" s="113"/>
      <c r="QBA75" s="114"/>
      <c r="QBB75" s="115"/>
      <c r="QBC75" s="18"/>
      <c r="QBD75" s="52"/>
      <c r="QBE75" s="53"/>
      <c r="QBF75" s="54"/>
      <c r="QBG75" s="11"/>
      <c r="QBH75" s="14"/>
      <c r="QBI75" s="113"/>
      <c r="QBJ75" s="114"/>
      <c r="QBK75" s="115"/>
      <c r="QBL75" s="18"/>
      <c r="QBM75" s="52"/>
      <c r="QBN75" s="53"/>
      <c r="QBO75" s="54"/>
      <c r="QBP75" s="11"/>
      <c r="QBQ75" s="14"/>
      <c r="QBR75" s="113"/>
      <c r="QBS75" s="114"/>
      <c r="QBT75" s="115"/>
      <c r="QBU75" s="18"/>
      <c r="QBV75" s="52"/>
      <c r="QBW75" s="53"/>
      <c r="QBX75" s="54"/>
      <c r="QBY75" s="11"/>
      <c r="QBZ75" s="14"/>
      <c r="QCA75" s="113"/>
      <c r="QCB75" s="114"/>
      <c r="QCC75" s="115"/>
      <c r="QCD75" s="18"/>
      <c r="QCE75" s="52"/>
      <c r="QCF75" s="53"/>
      <c r="QCG75" s="54"/>
      <c r="QCH75" s="11"/>
      <c r="QCI75" s="14"/>
      <c r="QCJ75" s="113"/>
      <c r="QCK75" s="114"/>
      <c r="QCL75" s="115"/>
      <c r="QCM75" s="18"/>
      <c r="QCN75" s="52"/>
      <c r="QCO75" s="53"/>
      <c r="QCP75" s="54"/>
      <c r="QCQ75" s="11"/>
      <c r="QCR75" s="14"/>
      <c r="QCS75" s="113"/>
      <c r="QCT75" s="114"/>
      <c r="QCU75" s="115"/>
      <c r="QCV75" s="18"/>
      <c r="QCW75" s="52"/>
      <c r="QCX75" s="53"/>
      <c r="QCY75" s="54"/>
      <c r="QCZ75" s="11"/>
      <c r="QDA75" s="14"/>
      <c r="QDB75" s="113"/>
      <c r="QDC75" s="114"/>
      <c r="QDD75" s="115"/>
      <c r="QDE75" s="18"/>
      <c r="QDF75" s="52"/>
      <c r="QDG75" s="53"/>
      <c r="QDH75" s="54"/>
      <c r="QDI75" s="11"/>
      <c r="QDJ75" s="14"/>
      <c r="QDK75" s="113"/>
      <c r="QDL75" s="114"/>
      <c r="QDM75" s="115"/>
      <c r="QDN75" s="18"/>
      <c r="QDO75" s="52"/>
      <c r="QDP75" s="53"/>
      <c r="QDQ75" s="54"/>
      <c r="QDR75" s="11"/>
      <c r="QDS75" s="14"/>
      <c r="QDT75" s="113"/>
      <c r="QDU75" s="114"/>
      <c r="QDV75" s="115"/>
      <c r="QDW75" s="18"/>
      <c r="QDX75" s="52"/>
      <c r="QDY75" s="53"/>
      <c r="QDZ75" s="54"/>
      <c r="QEA75" s="11"/>
      <c r="QEB75" s="14"/>
      <c r="QEC75" s="113"/>
      <c r="QED75" s="114"/>
      <c r="QEE75" s="115"/>
      <c r="QEF75" s="18"/>
      <c r="QEG75" s="52"/>
      <c r="QEH75" s="53"/>
      <c r="QEI75" s="54"/>
      <c r="QEJ75" s="11"/>
      <c r="QEK75" s="14"/>
      <c r="QEL75" s="113"/>
      <c r="QEM75" s="114"/>
      <c r="QEN75" s="115"/>
      <c r="QEO75" s="18"/>
      <c r="QEP75" s="52"/>
      <c r="QEQ75" s="53"/>
      <c r="QER75" s="54"/>
      <c r="QES75" s="11"/>
      <c r="QET75" s="14"/>
      <c r="QEU75" s="113"/>
      <c r="QEV75" s="114"/>
      <c r="QEW75" s="115"/>
      <c r="QEX75" s="18"/>
      <c r="QEY75" s="52"/>
      <c r="QEZ75" s="53"/>
      <c r="QFA75" s="54"/>
      <c r="QFB75" s="11"/>
      <c r="QFC75" s="14"/>
      <c r="QFD75" s="113"/>
      <c r="QFE75" s="114"/>
      <c r="QFF75" s="115"/>
      <c r="QFG75" s="18"/>
      <c r="QFH75" s="52"/>
      <c r="QFI75" s="53"/>
      <c r="QFJ75" s="54"/>
      <c r="QFK75" s="11"/>
      <c r="QFL75" s="14"/>
      <c r="QFM75" s="113"/>
      <c r="QFN75" s="114"/>
      <c r="QFO75" s="115"/>
      <c r="QFP75" s="18"/>
      <c r="QFQ75" s="52"/>
      <c r="QFR75" s="53"/>
      <c r="QFS75" s="54"/>
      <c r="QFT75" s="11"/>
      <c r="QFU75" s="14"/>
      <c r="QFV75" s="113"/>
      <c r="QFW75" s="114"/>
      <c r="QFX75" s="115"/>
      <c r="QFY75" s="18"/>
      <c r="QFZ75" s="52"/>
      <c r="QGA75" s="53"/>
      <c r="QGB75" s="54"/>
      <c r="QGC75" s="11"/>
      <c r="QGD75" s="14"/>
      <c r="QGE75" s="113"/>
      <c r="QGF75" s="114"/>
      <c r="QGG75" s="115"/>
      <c r="QGH75" s="18"/>
      <c r="QGI75" s="52"/>
      <c r="QGJ75" s="53"/>
      <c r="QGK75" s="54"/>
      <c r="QGL75" s="11"/>
      <c r="QGM75" s="14"/>
      <c r="QGN75" s="113"/>
      <c r="QGO75" s="114"/>
      <c r="QGP75" s="115"/>
      <c r="QGQ75" s="18"/>
      <c r="QGR75" s="52"/>
      <c r="QGS75" s="53"/>
      <c r="QGT75" s="54"/>
      <c r="QGU75" s="11"/>
      <c r="QGV75" s="14"/>
      <c r="QGW75" s="113"/>
      <c r="QGX75" s="114"/>
      <c r="QGY75" s="115"/>
      <c r="QGZ75" s="18"/>
      <c r="QHA75" s="52"/>
      <c r="QHB75" s="53"/>
      <c r="QHC75" s="54"/>
      <c r="QHD75" s="11"/>
      <c r="QHE75" s="14"/>
      <c r="QHF75" s="113"/>
      <c r="QHG75" s="114"/>
      <c r="QHH75" s="115"/>
      <c r="QHI75" s="18"/>
      <c r="QHJ75" s="52"/>
      <c r="QHK75" s="53"/>
      <c r="QHL75" s="54"/>
      <c r="QHM75" s="11"/>
      <c r="QHN75" s="14"/>
      <c r="QHO75" s="113"/>
      <c r="QHP75" s="114"/>
      <c r="QHQ75" s="115"/>
      <c r="QHR75" s="18"/>
      <c r="QHS75" s="52"/>
      <c r="QHT75" s="53"/>
      <c r="QHU75" s="54"/>
      <c r="QHV75" s="11"/>
      <c r="QHW75" s="14"/>
      <c r="QHX75" s="113"/>
      <c r="QHY75" s="114"/>
      <c r="QHZ75" s="115"/>
      <c r="QIA75" s="18"/>
      <c r="QIB75" s="52"/>
      <c r="QIC75" s="53"/>
      <c r="QID75" s="54"/>
      <c r="QIE75" s="11"/>
      <c r="QIF75" s="14"/>
      <c r="QIG75" s="113"/>
      <c r="QIH75" s="114"/>
      <c r="QII75" s="115"/>
      <c r="QIJ75" s="18"/>
      <c r="QIK75" s="52"/>
      <c r="QIL75" s="53"/>
      <c r="QIM75" s="54"/>
      <c r="QIN75" s="11"/>
      <c r="QIO75" s="14"/>
      <c r="QIP75" s="113"/>
      <c r="QIQ75" s="114"/>
      <c r="QIR75" s="115"/>
      <c r="QIS75" s="18"/>
      <c r="QIT75" s="52"/>
      <c r="QIU75" s="53"/>
      <c r="QIV75" s="54"/>
      <c r="QIW75" s="11"/>
      <c r="QIX75" s="14"/>
      <c r="QIY75" s="113"/>
      <c r="QIZ75" s="114"/>
      <c r="QJA75" s="115"/>
      <c r="QJB75" s="18"/>
      <c r="QJC75" s="52"/>
      <c r="QJD75" s="53"/>
      <c r="QJE75" s="54"/>
      <c r="QJF75" s="11"/>
      <c r="QJG75" s="14"/>
      <c r="QJH75" s="113"/>
      <c r="QJI75" s="114"/>
      <c r="QJJ75" s="115"/>
      <c r="QJK75" s="18"/>
      <c r="QJL75" s="52"/>
      <c r="QJM75" s="53"/>
      <c r="QJN75" s="54"/>
      <c r="QJO75" s="11"/>
      <c r="QJP75" s="14"/>
      <c r="QJQ75" s="113"/>
      <c r="QJR75" s="114"/>
      <c r="QJS75" s="115"/>
      <c r="QJT75" s="18"/>
      <c r="QJU75" s="52"/>
      <c r="QJV75" s="53"/>
      <c r="QJW75" s="54"/>
      <c r="QJX75" s="11"/>
      <c r="QJY75" s="14"/>
      <c r="QJZ75" s="113"/>
      <c r="QKA75" s="114"/>
      <c r="QKB75" s="115"/>
      <c r="QKC75" s="18"/>
      <c r="QKD75" s="52"/>
      <c r="QKE75" s="53"/>
      <c r="QKF75" s="54"/>
      <c r="QKG75" s="11"/>
      <c r="QKH75" s="14"/>
      <c r="QKI75" s="113"/>
      <c r="QKJ75" s="114"/>
      <c r="QKK75" s="115"/>
      <c r="QKL75" s="18"/>
      <c r="QKM75" s="52"/>
      <c r="QKN75" s="53"/>
      <c r="QKO75" s="54"/>
      <c r="QKP75" s="11"/>
      <c r="QKQ75" s="14"/>
      <c r="QKR75" s="113"/>
      <c r="QKS75" s="114"/>
      <c r="QKT75" s="115"/>
      <c r="QKU75" s="18"/>
      <c r="QKV75" s="52"/>
      <c r="QKW75" s="53"/>
      <c r="QKX75" s="54"/>
      <c r="QKY75" s="11"/>
      <c r="QKZ75" s="14"/>
      <c r="QLA75" s="113"/>
      <c r="QLB75" s="114"/>
      <c r="QLC75" s="115"/>
      <c r="QLD75" s="18"/>
      <c r="QLE75" s="52"/>
      <c r="QLF75" s="53"/>
      <c r="QLG75" s="54"/>
      <c r="QLH75" s="11"/>
      <c r="QLI75" s="14"/>
      <c r="QLJ75" s="113"/>
      <c r="QLK75" s="114"/>
      <c r="QLL75" s="115"/>
      <c r="QLM75" s="18"/>
      <c r="QLN75" s="52"/>
      <c r="QLO75" s="53"/>
      <c r="QLP75" s="54"/>
      <c r="QLQ75" s="11"/>
      <c r="QLR75" s="14"/>
      <c r="QLS75" s="113"/>
      <c r="QLT75" s="114"/>
      <c r="QLU75" s="115"/>
      <c r="QLV75" s="18"/>
      <c r="QLW75" s="52"/>
      <c r="QLX75" s="53"/>
      <c r="QLY75" s="54"/>
      <c r="QLZ75" s="11"/>
      <c r="QMA75" s="14"/>
      <c r="QMB75" s="113"/>
      <c r="QMC75" s="114"/>
      <c r="QMD75" s="115"/>
      <c r="QME75" s="18"/>
      <c r="QMF75" s="52"/>
      <c r="QMG75" s="53"/>
      <c r="QMH75" s="54"/>
      <c r="QMI75" s="11"/>
      <c r="QMJ75" s="14"/>
      <c r="QMK75" s="113"/>
      <c r="QML75" s="114"/>
      <c r="QMM75" s="115"/>
      <c r="QMN75" s="18"/>
      <c r="QMO75" s="52"/>
      <c r="QMP75" s="53"/>
      <c r="QMQ75" s="54"/>
      <c r="QMR75" s="11"/>
      <c r="QMS75" s="14"/>
      <c r="QMT75" s="113"/>
      <c r="QMU75" s="114"/>
      <c r="QMV75" s="115"/>
      <c r="QMW75" s="18"/>
      <c r="QMX75" s="52"/>
      <c r="QMY75" s="53"/>
      <c r="QMZ75" s="54"/>
      <c r="QNA75" s="11"/>
      <c r="QNB75" s="14"/>
      <c r="QNC75" s="113"/>
      <c r="QND75" s="114"/>
      <c r="QNE75" s="115"/>
      <c r="QNF75" s="18"/>
      <c r="QNG75" s="52"/>
      <c r="QNH75" s="53"/>
      <c r="QNI75" s="54"/>
      <c r="QNJ75" s="11"/>
      <c r="QNK75" s="14"/>
      <c r="QNL75" s="113"/>
      <c r="QNM75" s="114"/>
      <c r="QNN75" s="115"/>
      <c r="QNO75" s="18"/>
      <c r="QNP75" s="52"/>
      <c r="QNQ75" s="53"/>
      <c r="QNR75" s="54"/>
      <c r="QNS75" s="11"/>
      <c r="QNT75" s="14"/>
      <c r="QNU75" s="113"/>
      <c r="QNV75" s="114"/>
      <c r="QNW75" s="115"/>
      <c r="QNX75" s="18"/>
      <c r="QNY75" s="52"/>
      <c r="QNZ75" s="53"/>
      <c r="QOA75" s="54"/>
      <c r="QOB75" s="11"/>
      <c r="QOC75" s="14"/>
      <c r="QOD75" s="113"/>
      <c r="QOE75" s="114"/>
      <c r="QOF75" s="115"/>
      <c r="QOG75" s="18"/>
      <c r="QOH75" s="52"/>
      <c r="QOI75" s="53"/>
      <c r="QOJ75" s="54"/>
      <c r="QOK75" s="11"/>
      <c r="QOL75" s="14"/>
      <c r="QOM75" s="113"/>
      <c r="QON75" s="114"/>
      <c r="QOO75" s="115"/>
      <c r="QOP75" s="18"/>
      <c r="QOQ75" s="52"/>
      <c r="QOR75" s="53"/>
      <c r="QOS75" s="54"/>
      <c r="QOT75" s="11"/>
      <c r="QOU75" s="14"/>
      <c r="QOV75" s="113"/>
      <c r="QOW75" s="114"/>
      <c r="QOX75" s="115"/>
      <c r="QOY75" s="18"/>
      <c r="QOZ75" s="52"/>
      <c r="QPA75" s="53"/>
      <c r="QPB75" s="54"/>
      <c r="QPC75" s="11"/>
      <c r="QPD75" s="14"/>
      <c r="QPE75" s="113"/>
      <c r="QPF75" s="114"/>
      <c r="QPG75" s="115"/>
      <c r="QPH75" s="18"/>
      <c r="QPI75" s="52"/>
      <c r="QPJ75" s="53"/>
      <c r="QPK75" s="54"/>
      <c r="QPL75" s="11"/>
      <c r="QPM75" s="14"/>
      <c r="QPN75" s="113"/>
      <c r="QPO75" s="114"/>
      <c r="QPP75" s="115"/>
      <c r="QPQ75" s="18"/>
      <c r="QPR75" s="52"/>
      <c r="QPS75" s="53"/>
      <c r="QPT75" s="54"/>
      <c r="QPU75" s="11"/>
      <c r="QPV75" s="14"/>
      <c r="QPW75" s="113"/>
      <c r="QPX75" s="114"/>
      <c r="QPY75" s="115"/>
      <c r="QPZ75" s="18"/>
      <c r="QQA75" s="52"/>
      <c r="QQB75" s="53"/>
      <c r="QQC75" s="54"/>
      <c r="QQD75" s="11"/>
      <c r="QQE75" s="14"/>
      <c r="QQF75" s="113"/>
      <c r="QQG75" s="114"/>
      <c r="QQH75" s="115"/>
      <c r="QQI75" s="18"/>
      <c r="QQJ75" s="52"/>
      <c r="QQK75" s="53"/>
      <c r="QQL75" s="54"/>
      <c r="QQM75" s="11"/>
      <c r="QQN75" s="14"/>
      <c r="QQO75" s="113"/>
      <c r="QQP75" s="114"/>
      <c r="QQQ75" s="115"/>
      <c r="QQR75" s="18"/>
      <c r="QQS75" s="52"/>
      <c r="QQT75" s="53"/>
      <c r="QQU75" s="54"/>
      <c r="QQV75" s="11"/>
      <c r="QQW75" s="14"/>
      <c r="QQX75" s="113"/>
      <c r="QQY75" s="114"/>
      <c r="QQZ75" s="115"/>
      <c r="QRA75" s="18"/>
      <c r="QRB75" s="52"/>
      <c r="QRC75" s="53"/>
      <c r="QRD75" s="54"/>
      <c r="QRE75" s="11"/>
      <c r="QRF75" s="14"/>
      <c r="QRG75" s="113"/>
      <c r="QRH75" s="114"/>
      <c r="QRI75" s="115"/>
      <c r="QRJ75" s="18"/>
      <c r="QRK75" s="52"/>
      <c r="QRL75" s="53"/>
      <c r="QRM75" s="54"/>
      <c r="QRN75" s="11"/>
      <c r="QRO75" s="14"/>
      <c r="QRP75" s="113"/>
      <c r="QRQ75" s="114"/>
      <c r="QRR75" s="115"/>
      <c r="QRS75" s="18"/>
      <c r="QRT75" s="52"/>
      <c r="QRU75" s="53"/>
      <c r="QRV75" s="54"/>
      <c r="QRW75" s="11"/>
      <c r="QRX75" s="14"/>
      <c r="QRY75" s="113"/>
      <c r="QRZ75" s="114"/>
      <c r="QSA75" s="115"/>
      <c r="QSB75" s="18"/>
      <c r="QSC75" s="52"/>
      <c r="QSD75" s="53"/>
      <c r="QSE75" s="54"/>
      <c r="QSF75" s="11"/>
      <c r="QSG75" s="14"/>
      <c r="QSH75" s="113"/>
      <c r="QSI75" s="114"/>
      <c r="QSJ75" s="115"/>
      <c r="QSK75" s="18"/>
      <c r="QSL75" s="52"/>
      <c r="QSM75" s="53"/>
      <c r="QSN75" s="54"/>
      <c r="QSO75" s="11"/>
      <c r="QSP75" s="14"/>
      <c r="QSQ75" s="113"/>
      <c r="QSR75" s="114"/>
      <c r="QSS75" s="115"/>
      <c r="QST75" s="18"/>
      <c r="QSU75" s="52"/>
      <c r="QSV75" s="53"/>
      <c r="QSW75" s="54"/>
      <c r="QSX75" s="11"/>
      <c r="QSY75" s="14"/>
      <c r="QSZ75" s="113"/>
      <c r="QTA75" s="114"/>
      <c r="QTB75" s="115"/>
      <c r="QTC75" s="18"/>
      <c r="QTD75" s="52"/>
      <c r="QTE75" s="53"/>
      <c r="QTF75" s="54"/>
      <c r="QTG75" s="11"/>
      <c r="QTH75" s="14"/>
      <c r="QTI75" s="113"/>
      <c r="QTJ75" s="114"/>
      <c r="QTK75" s="115"/>
      <c r="QTL75" s="18"/>
      <c r="QTM75" s="52"/>
      <c r="QTN75" s="53"/>
      <c r="QTO75" s="54"/>
      <c r="QTP75" s="11"/>
      <c r="QTQ75" s="14"/>
      <c r="QTR75" s="113"/>
      <c r="QTS75" s="114"/>
      <c r="QTT75" s="115"/>
      <c r="QTU75" s="18"/>
      <c r="QTV75" s="52"/>
      <c r="QTW75" s="53"/>
      <c r="QTX75" s="54"/>
      <c r="QTY75" s="11"/>
      <c r="QTZ75" s="14"/>
      <c r="QUA75" s="113"/>
      <c r="QUB75" s="114"/>
      <c r="QUC75" s="115"/>
      <c r="QUD75" s="18"/>
      <c r="QUE75" s="52"/>
      <c r="QUF75" s="53"/>
      <c r="QUG75" s="54"/>
      <c r="QUH75" s="11"/>
      <c r="QUI75" s="14"/>
      <c r="QUJ75" s="113"/>
      <c r="QUK75" s="114"/>
      <c r="QUL75" s="115"/>
      <c r="QUM75" s="18"/>
      <c r="QUN75" s="52"/>
      <c r="QUO75" s="53"/>
      <c r="QUP75" s="54"/>
      <c r="QUQ75" s="11"/>
      <c r="QUR75" s="14"/>
      <c r="QUS75" s="113"/>
      <c r="QUT75" s="114"/>
      <c r="QUU75" s="115"/>
      <c r="QUV75" s="18"/>
      <c r="QUW75" s="52"/>
      <c r="QUX75" s="53"/>
      <c r="QUY75" s="54"/>
      <c r="QUZ75" s="11"/>
      <c r="QVA75" s="14"/>
      <c r="QVB75" s="113"/>
      <c r="QVC75" s="114"/>
      <c r="QVD75" s="115"/>
      <c r="QVE75" s="18"/>
      <c r="QVF75" s="52"/>
      <c r="QVG75" s="53"/>
      <c r="QVH75" s="54"/>
      <c r="QVI75" s="11"/>
      <c r="QVJ75" s="14"/>
      <c r="QVK75" s="113"/>
      <c r="QVL75" s="114"/>
      <c r="QVM75" s="115"/>
      <c r="QVN75" s="18"/>
      <c r="QVO75" s="52"/>
      <c r="QVP75" s="53"/>
      <c r="QVQ75" s="54"/>
      <c r="QVR75" s="11"/>
      <c r="QVS75" s="14"/>
      <c r="QVT75" s="113"/>
      <c r="QVU75" s="114"/>
      <c r="QVV75" s="115"/>
      <c r="QVW75" s="18"/>
      <c r="QVX75" s="52"/>
      <c r="QVY75" s="53"/>
      <c r="QVZ75" s="54"/>
      <c r="QWA75" s="11"/>
      <c r="QWB75" s="14"/>
      <c r="QWC75" s="113"/>
      <c r="QWD75" s="114"/>
      <c r="QWE75" s="115"/>
      <c r="QWF75" s="18"/>
      <c r="QWG75" s="52"/>
      <c r="QWH75" s="53"/>
      <c r="QWI75" s="54"/>
      <c r="QWJ75" s="11"/>
      <c r="QWK75" s="14"/>
      <c r="QWL75" s="113"/>
      <c r="QWM75" s="114"/>
      <c r="QWN75" s="115"/>
      <c r="QWO75" s="18"/>
      <c r="QWP75" s="52"/>
      <c r="QWQ75" s="53"/>
      <c r="QWR75" s="54"/>
      <c r="QWS75" s="11"/>
      <c r="QWT75" s="14"/>
      <c r="QWU75" s="113"/>
      <c r="QWV75" s="114"/>
      <c r="QWW75" s="115"/>
      <c r="QWX75" s="18"/>
      <c r="QWY75" s="52"/>
      <c r="QWZ75" s="53"/>
      <c r="QXA75" s="54"/>
      <c r="QXB75" s="11"/>
      <c r="QXC75" s="14"/>
      <c r="QXD75" s="113"/>
      <c r="QXE75" s="114"/>
      <c r="QXF75" s="115"/>
      <c r="QXG75" s="18"/>
      <c r="QXH75" s="52"/>
      <c r="QXI75" s="53"/>
      <c r="QXJ75" s="54"/>
      <c r="QXK75" s="11"/>
      <c r="QXL75" s="14"/>
      <c r="QXM75" s="113"/>
      <c r="QXN75" s="114"/>
      <c r="QXO75" s="115"/>
      <c r="QXP75" s="18"/>
      <c r="QXQ75" s="52"/>
      <c r="QXR75" s="53"/>
      <c r="QXS75" s="54"/>
      <c r="QXT75" s="11"/>
      <c r="QXU75" s="14"/>
      <c r="QXV75" s="113"/>
      <c r="QXW75" s="114"/>
      <c r="QXX75" s="115"/>
      <c r="QXY75" s="18"/>
      <c r="QXZ75" s="52"/>
      <c r="QYA75" s="53"/>
      <c r="QYB75" s="54"/>
      <c r="QYC75" s="11"/>
      <c r="QYD75" s="14"/>
      <c r="QYE75" s="113"/>
      <c r="QYF75" s="114"/>
      <c r="QYG75" s="115"/>
      <c r="QYH75" s="18"/>
      <c r="QYI75" s="52"/>
      <c r="QYJ75" s="53"/>
      <c r="QYK75" s="54"/>
      <c r="QYL75" s="11"/>
      <c r="QYM75" s="14"/>
      <c r="QYN75" s="113"/>
      <c r="QYO75" s="114"/>
      <c r="QYP75" s="115"/>
      <c r="QYQ75" s="18"/>
      <c r="QYR75" s="52"/>
      <c r="QYS75" s="53"/>
      <c r="QYT75" s="54"/>
      <c r="QYU75" s="11"/>
      <c r="QYV75" s="14"/>
      <c r="QYW75" s="113"/>
      <c r="QYX75" s="114"/>
      <c r="QYY75" s="115"/>
      <c r="QYZ75" s="18"/>
      <c r="QZA75" s="52"/>
      <c r="QZB75" s="53"/>
      <c r="QZC75" s="54"/>
      <c r="QZD75" s="11"/>
      <c r="QZE75" s="14"/>
      <c r="QZF75" s="113"/>
      <c r="QZG75" s="114"/>
      <c r="QZH75" s="115"/>
      <c r="QZI75" s="18"/>
      <c r="QZJ75" s="52"/>
      <c r="QZK75" s="53"/>
      <c r="QZL75" s="54"/>
      <c r="QZM75" s="11"/>
      <c r="QZN75" s="14"/>
      <c r="QZO75" s="113"/>
      <c r="QZP75" s="114"/>
      <c r="QZQ75" s="115"/>
      <c r="QZR75" s="18"/>
      <c r="QZS75" s="52"/>
      <c r="QZT75" s="53"/>
      <c r="QZU75" s="54"/>
      <c r="QZV75" s="11"/>
      <c r="QZW75" s="14"/>
      <c r="QZX75" s="113"/>
      <c r="QZY75" s="114"/>
      <c r="QZZ75" s="115"/>
      <c r="RAA75" s="18"/>
      <c r="RAB75" s="52"/>
      <c r="RAC75" s="53"/>
      <c r="RAD75" s="54"/>
      <c r="RAE75" s="11"/>
      <c r="RAF75" s="14"/>
      <c r="RAG75" s="113"/>
      <c r="RAH75" s="114"/>
      <c r="RAI75" s="115"/>
      <c r="RAJ75" s="18"/>
      <c r="RAK75" s="52"/>
      <c r="RAL75" s="53"/>
      <c r="RAM75" s="54"/>
      <c r="RAN75" s="11"/>
      <c r="RAO75" s="14"/>
      <c r="RAP75" s="113"/>
      <c r="RAQ75" s="114"/>
      <c r="RAR75" s="115"/>
      <c r="RAS75" s="18"/>
      <c r="RAT75" s="52"/>
      <c r="RAU75" s="53"/>
      <c r="RAV75" s="54"/>
      <c r="RAW75" s="11"/>
      <c r="RAX75" s="14"/>
      <c r="RAY75" s="113"/>
      <c r="RAZ75" s="114"/>
      <c r="RBA75" s="115"/>
      <c r="RBB75" s="18"/>
      <c r="RBC75" s="52"/>
      <c r="RBD75" s="53"/>
      <c r="RBE75" s="54"/>
      <c r="RBF75" s="11"/>
      <c r="RBG75" s="14"/>
      <c r="RBH75" s="113"/>
      <c r="RBI75" s="114"/>
      <c r="RBJ75" s="115"/>
      <c r="RBK75" s="18"/>
      <c r="RBL75" s="52"/>
      <c r="RBM75" s="53"/>
      <c r="RBN75" s="54"/>
      <c r="RBO75" s="11"/>
      <c r="RBP75" s="14"/>
      <c r="RBQ75" s="113"/>
      <c r="RBR75" s="114"/>
      <c r="RBS75" s="115"/>
      <c r="RBT75" s="18"/>
      <c r="RBU75" s="52"/>
      <c r="RBV75" s="53"/>
      <c r="RBW75" s="54"/>
      <c r="RBX75" s="11"/>
      <c r="RBY75" s="14"/>
      <c r="RBZ75" s="113"/>
      <c r="RCA75" s="114"/>
      <c r="RCB75" s="115"/>
      <c r="RCC75" s="18"/>
      <c r="RCD75" s="52"/>
      <c r="RCE75" s="53"/>
      <c r="RCF75" s="54"/>
      <c r="RCG75" s="11"/>
      <c r="RCH75" s="14"/>
      <c r="RCI75" s="113"/>
      <c r="RCJ75" s="114"/>
      <c r="RCK75" s="115"/>
      <c r="RCL75" s="18"/>
      <c r="RCM75" s="52"/>
      <c r="RCN75" s="53"/>
      <c r="RCO75" s="54"/>
      <c r="RCP75" s="11"/>
      <c r="RCQ75" s="14"/>
      <c r="RCR75" s="113"/>
      <c r="RCS75" s="114"/>
      <c r="RCT75" s="115"/>
      <c r="RCU75" s="18"/>
      <c r="RCV75" s="52"/>
      <c r="RCW75" s="53"/>
      <c r="RCX75" s="54"/>
      <c r="RCY75" s="11"/>
      <c r="RCZ75" s="14"/>
      <c r="RDA75" s="113"/>
      <c r="RDB75" s="114"/>
      <c r="RDC75" s="115"/>
      <c r="RDD75" s="18"/>
      <c r="RDE75" s="52"/>
      <c r="RDF75" s="53"/>
      <c r="RDG75" s="54"/>
      <c r="RDH75" s="11"/>
      <c r="RDI75" s="14"/>
      <c r="RDJ75" s="113"/>
      <c r="RDK75" s="114"/>
      <c r="RDL75" s="115"/>
      <c r="RDM75" s="18"/>
      <c r="RDN75" s="52"/>
      <c r="RDO75" s="53"/>
      <c r="RDP75" s="54"/>
      <c r="RDQ75" s="11"/>
      <c r="RDR75" s="14"/>
      <c r="RDS75" s="113"/>
      <c r="RDT75" s="114"/>
      <c r="RDU75" s="115"/>
      <c r="RDV75" s="18"/>
      <c r="RDW75" s="52"/>
      <c r="RDX75" s="53"/>
      <c r="RDY75" s="54"/>
      <c r="RDZ75" s="11"/>
      <c r="REA75" s="14"/>
      <c r="REB75" s="113"/>
      <c r="REC75" s="114"/>
      <c r="RED75" s="115"/>
      <c r="REE75" s="18"/>
      <c r="REF75" s="52"/>
      <c r="REG75" s="53"/>
      <c r="REH75" s="54"/>
      <c r="REI75" s="11"/>
      <c r="REJ75" s="14"/>
      <c r="REK75" s="113"/>
      <c r="REL75" s="114"/>
      <c r="REM75" s="115"/>
      <c r="REN75" s="18"/>
      <c r="REO75" s="52"/>
      <c r="REP75" s="53"/>
      <c r="REQ75" s="54"/>
      <c r="RER75" s="11"/>
      <c r="RES75" s="14"/>
      <c r="RET75" s="113"/>
      <c r="REU75" s="114"/>
      <c r="REV75" s="115"/>
      <c r="REW75" s="18"/>
      <c r="REX75" s="52"/>
      <c r="REY75" s="53"/>
      <c r="REZ75" s="54"/>
      <c r="RFA75" s="11"/>
      <c r="RFB75" s="14"/>
      <c r="RFC75" s="113"/>
      <c r="RFD75" s="114"/>
      <c r="RFE75" s="115"/>
      <c r="RFF75" s="18"/>
      <c r="RFG75" s="52"/>
      <c r="RFH75" s="53"/>
      <c r="RFI75" s="54"/>
      <c r="RFJ75" s="11"/>
      <c r="RFK75" s="14"/>
      <c r="RFL75" s="113"/>
      <c r="RFM75" s="114"/>
      <c r="RFN75" s="115"/>
      <c r="RFO75" s="18"/>
      <c r="RFP75" s="52"/>
      <c r="RFQ75" s="53"/>
      <c r="RFR75" s="54"/>
      <c r="RFS75" s="11"/>
      <c r="RFT75" s="14"/>
      <c r="RFU75" s="113"/>
      <c r="RFV75" s="114"/>
      <c r="RFW75" s="115"/>
      <c r="RFX75" s="18"/>
      <c r="RFY75" s="52"/>
      <c r="RFZ75" s="53"/>
      <c r="RGA75" s="54"/>
      <c r="RGB75" s="11"/>
      <c r="RGC75" s="14"/>
      <c r="RGD75" s="113"/>
      <c r="RGE75" s="114"/>
      <c r="RGF75" s="115"/>
      <c r="RGG75" s="18"/>
      <c r="RGH75" s="52"/>
      <c r="RGI75" s="53"/>
      <c r="RGJ75" s="54"/>
      <c r="RGK75" s="11"/>
      <c r="RGL75" s="14"/>
      <c r="RGM75" s="113"/>
      <c r="RGN75" s="114"/>
      <c r="RGO75" s="115"/>
      <c r="RGP75" s="18"/>
      <c r="RGQ75" s="52"/>
      <c r="RGR75" s="53"/>
      <c r="RGS75" s="54"/>
      <c r="RGT75" s="11"/>
      <c r="RGU75" s="14"/>
      <c r="RGV75" s="113"/>
      <c r="RGW75" s="114"/>
      <c r="RGX75" s="115"/>
      <c r="RGY75" s="18"/>
      <c r="RGZ75" s="52"/>
      <c r="RHA75" s="53"/>
      <c r="RHB75" s="54"/>
      <c r="RHC75" s="11"/>
      <c r="RHD75" s="14"/>
      <c r="RHE75" s="113"/>
      <c r="RHF75" s="114"/>
      <c r="RHG75" s="115"/>
      <c r="RHH75" s="18"/>
      <c r="RHI75" s="52"/>
      <c r="RHJ75" s="53"/>
      <c r="RHK75" s="54"/>
      <c r="RHL75" s="11"/>
      <c r="RHM75" s="14"/>
      <c r="RHN75" s="113"/>
      <c r="RHO75" s="114"/>
      <c r="RHP75" s="115"/>
      <c r="RHQ75" s="18"/>
      <c r="RHR75" s="52"/>
      <c r="RHS75" s="53"/>
      <c r="RHT75" s="54"/>
      <c r="RHU75" s="11"/>
      <c r="RHV75" s="14"/>
      <c r="RHW75" s="113"/>
      <c r="RHX75" s="114"/>
      <c r="RHY75" s="115"/>
      <c r="RHZ75" s="18"/>
      <c r="RIA75" s="52"/>
      <c r="RIB75" s="53"/>
      <c r="RIC75" s="54"/>
      <c r="RID75" s="11"/>
      <c r="RIE75" s="14"/>
      <c r="RIF75" s="113"/>
      <c r="RIG75" s="114"/>
      <c r="RIH75" s="115"/>
      <c r="RII75" s="18"/>
      <c r="RIJ75" s="52"/>
      <c r="RIK75" s="53"/>
      <c r="RIL75" s="54"/>
      <c r="RIM75" s="11"/>
      <c r="RIN75" s="14"/>
      <c r="RIO75" s="113"/>
      <c r="RIP75" s="114"/>
      <c r="RIQ75" s="115"/>
      <c r="RIR75" s="18"/>
      <c r="RIS75" s="52"/>
      <c r="RIT75" s="53"/>
      <c r="RIU75" s="54"/>
      <c r="RIV75" s="11"/>
      <c r="RIW75" s="14"/>
      <c r="RIX75" s="113"/>
      <c r="RIY75" s="114"/>
      <c r="RIZ75" s="115"/>
      <c r="RJA75" s="18"/>
      <c r="RJB75" s="52"/>
      <c r="RJC75" s="53"/>
      <c r="RJD75" s="54"/>
      <c r="RJE75" s="11"/>
      <c r="RJF75" s="14"/>
      <c r="RJG75" s="113"/>
      <c r="RJH75" s="114"/>
      <c r="RJI75" s="115"/>
      <c r="RJJ75" s="18"/>
      <c r="RJK75" s="52"/>
      <c r="RJL75" s="53"/>
      <c r="RJM75" s="54"/>
      <c r="RJN75" s="11"/>
      <c r="RJO75" s="14"/>
      <c r="RJP75" s="113"/>
      <c r="RJQ75" s="114"/>
      <c r="RJR75" s="115"/>
      <c r="RJS75" s="18"/>
      <c r="RJT75" s="52"/>
      <c r="RJU75" s="53"/>
      <c r="RJV75" s="54"/>
      <c r="RJW75" s="11"/>
      <c r="RJX75" s="14"/>
      <c r="RJY75" s="113"/>
      <c r="RJZ75" s="114"/>
      <c r="RKA75" s="115"/>
      <c r="RKB75" s="18"/>
      <c r="RKC75" s="52"/>
      <c r="RKD75" s="53"/>
      <c r="RKE75" s="54"/>
      <c r="RKF75" s="11"/>
      <c r="RKG75" s="14"/>
      <c r="RKH75" s="113"/>
      <c r="RKI75" s="114"/>
      <c r="RKJ75" s="115"/>
      <c r="RKK75" s="18"/>
      <c r="RKL75" s="52"/>
      <c r="RKM75" s="53"/>
      <c r="RKN75" s="54"/>
      <c r="RKO75" s="11"/>
      <c r="RKP75" s="14"/>
      <c r="RKQ75" s="113"/>
      <c r="RKR75" s="114"/>
      <c r="RKS75" s="115"/>
      <c r="RKT75" s="18"/>
      <c r="RKU75" s="52"/>
      <c r="RKV75" s="53"/>
      <c r="RKW75" s="54"/>
      <c r="RKX75" s="11"/>
      <c r="RKY75" s="14"/>
      <c r="RKZ75" s="113"/>
      <c r="RLA75" s="114"/>
      <c r="RLB75" s="115"/>
      <c r="RLC75" s="18"/>
      <c r="RLD75" s="52"/>
      <c r="RLE75" s="53"/>
      <c r="RLF75" s="54"/>
      <c r="RLG75" s="11"/>
      <c r="RLH75" s="14"/>
      <c r="RLI75" s="113"/>
      <c r="RLJ75" s="114"/>
      <c r="RLK75" s="115"/>
      <c r="RLL75" s="18"/>
      <c r="RLM75" s="52"/>
      <c r="RLN75" s="53"/>
      <c r="RLO75" s="54"/>
      <c r="RLP75" s="11"/>
      <c r="RLQ75" s="14"/>
      <c r="RLR75" s="113"/>
      <c r="RLS75" s="114"/>
      <c r="RLT75" s="115"/>
      <c r="RLU75" s="18"/>
      <c r="RLV75" s="52"/>
      <c r="RLW75" s="53"/>
      <c r="RLX75" s="54"/>
      <c r="RLY75" s="11"/>
      <c r="RLZ75" s="14"/>
      <c r="RMA75" s="113"/>
      <c r="RMB75" s="114"/>
      <c r="RMC75" s="115"/>
      <c r="RMD75" s="18"/>
      <c r="RME75" s="52"/>
      <c r="RMF75" s="53"/>
      <c r="RMG75" s="54"/>
      <c r="RMH75" s="11"/>
      <c r="RMI75" s="14"/>
      <c r="RMJ75" s="113"/>
      <c r="RMK75" s="114"/>
      <c r="RML75" s="115"/>
      <c r="RMM75" s="18"/>
      <c r="RMN75" s="52"/>
      <c r="RMO75" s="53"/>
      <c r="RMP75" s="54"/>
      <c r="RMQ75" s="11"/>
      <c r="RMR75" s="14"/>
      <c r="RMS75" s="113"/>
      <c r="RMT75" s="114"/>
      <c r="RMU75" s="115"/>
      <c r="RMV75" s="18"/>
      <c r="RMW75" s="52"/>
      <c r="RMX75" s="53"/>
      <c r="RMY75" s="54"/>
      <c r="RMZ75" s="11"/>
      <c r="RNA75" s="14"/>
      <c r="RNB75" s="113"/>
      <c r="RNC75" s="114"/>
      <c r="RND75" s="115"/>
      <c r="RNE75" s="18"/>
      <c r="RNF75" s="52"/>
      <c r="RNG75" s="53"/>
      <c r="RNH75" s="54"/>
      <c r="RNI75" s="11"/>
      <c r="RNJ75" s="14"/>
      <c r="RNK75" s="113"/>
      <c r="RNL75" s="114"/>
      <c r="RNM75" s="115"/>
      <c r="RNN75" s="18"/>
      <c r="RNO75" s="52"/>
      <c r="RNP75" s="53"/>
      <c r="RNQ75" s="54"/>
      <c r="RNR75" s="11"/>
      <c r="RNS75" s="14"/>
      <c r="RNT75" s="113"/>
      <c r="RNU75" s="114"/>
      <c r="RNV75" s="115"/>
      <c r="RNW75" s="18"/>
      <c r="RNX75" s="52"/>
      <c r="RNY75" s="53"/>
      <c r="RNZ75" s="54"/>
      <c r="ROA75" s="11"/>
      <c r="ROB75" s="14"/>
      <c r="ROC75" s="113"/>
      <c r="ROD75" s="114"/>
      <c r="ROE75" s="115"/>
      <c r="ROF75" s="18"/>
      <c r="ROG75" s="52"/>
      <c r="ROH75" s="53"/>
      <c r="ROI75" s="54"/>
      <c r="ROJ75" s="11"/>
      <c r="ROK75" s="14"/>
      <c r="ROL75" s="113"/>
      <c r="ROM75" s="114"/>
      <c r="RON75" s="115"/>
      <c r="ROO75" s="18"/>
      <c r="ROP75" s="52"/>
      <c r="ROQ75" s="53"/>
      <c r="ROR75" s="54"/>
      <c r="ROS75" s="11"/>
      <c r="ROT75" s="14"/>
      <c r="ROU75" s="113"/>
      <c r="ROV75" s="114"/>
      <c r="ROW75" s="115"/>
      <c r="ROX75" s="18"/>
      <c r="ROY75" s="52"/>
      <c r="ROZ75" s="53"/>
      <c r="RPA75" s="54"/>
      <c r="RPB75" s="11"/>
      <c r="RPC75" s="14"/>
      <c r="RPD75" s="113"/>
      <c r="RPE75" s="114"/>
      <c r="RPF75" s="115"/>
      <c r="RPG75" s="18"/>
      <c r="RPH75" s="52"/>
      <c r="RPI75" s="53"/>
      <c r="RPJ75" s="54"/>
      <c r="RPK75" s="11"/>
      <c r="RPL75" s="14"/>
      <c r="RPM75" s="113"/>
      <c r="RPN75" s="114"/>
      <c r="RPO75" s="115"/>
      <c r="RPP75" s="18"/>
      <c r="RPQ75" s="52"/>
      <c r="RPR75" s="53"/>
      <c r="RPS75" s="54"/>
      <c r="RPT75" s="11"/>
      <c r="RPU75" s="14"/>
      <c r="RPV75" s="113"/>
      <c r="RPW75" s="114"/>
      <c r="RPX75" s="115"/>
      <c r="RPY75" s="18"/>
      <c r="RPZ75" s="52"/>
      <c r="RQA75" s="53"/>
      <c r="RQB75" s="54"/>
      <c r="RQC75" s="11"/>
      <c r="RQD75" s="14"/>
      <c r="RQE75" s="113"/>
      <c r="RQF75" s="114"/>
      <c r="RQG75" s="115"/>
      <c r="RQH75" s="18"/>
      <c r="RQI75" s="52"/>
      <c r="RQJ75" s="53"/>
      <c r="RQK75" s="54"/>
      <c r="RQL75" s="11"/>
      <c r="RQM75" s="14"/>
      <c r="RQN75" s="113"/>
      <c r="RQO75" s="114"/>
      <c r="RQP75" s="115"/>
      <c r="RQQ75" s="18"/>
      <c r="RQR75" s="52"/>
      <c r="RQS75" s="53"/>
      <c r="RQT75" s="54"/>
      <c r="RQU75" s="11"/>
      <c r="RQV75" s="14"/>
      <c r="RQW75" s="113"/>
      <c r="RQX75" s="114"/>
      <c r="RQY75" s="115"/>
      <c r="RQZ75" s="18"/>
      <c r="RRA75" s="52"/>
      <c r="RRB75" s="53"/>
      <c r="RRC75" s="54"/>
      <c r="RRD75" s="11"/>
      <c r="RRE75" s="14"/>
      <c r="RRF75" s="113"/>
      <c r="RRG75" s="114"/>
      <c r="RRH75" s="115"/>
      <c r="RRI75" s="18"/>
      <c r="RRJ75" s="52"/>
      <c r="RRK75" s="53"/>
      <c r="RRL75" s="54"/>
      <c r="RRM75" s="11"/>
      <c r="RRN75" s="14"/>
      <c r="RRO75" s="113"/>
      <c r="RRP75" s="114"/>
      <c r="RRQ75" s="115"/>
      <c r="RRR75" s="18"/>
      <c r="RRS75" s="52"/>
      <c r="RRT75" s="53"/>
      <c r="RRU75" s="54"/>
      <c r="RRV75" s="11"/>
      <c r="RRW75" s="14"/>
      <c r="RRX75" s="113"/>
      <c r="RRY75" s="114"/>
      <c r="RRZ75" s="115"/>
      <c r="RSA75" s="18"/>
      <c r="RSB75" s="52"/>
      <c r="RSC75" s="53"/>
      <c r="RSD75" s="54"/>
      <c r="RSE75" s="11"/>
      <c r="RSF75" s="14"/>
      <c r="RSG75" s="113"/>
      <c r="RSH75" s="114"/>
      <c r="RSI75" s="115"/>
      <c r="RSJ75" s="18"/>
      <c r="RSK75" s="52"/>
      <c r="RSL75" s="53"/>
      <c r="RSM75" s="54"/>
      <c r="RSN75" s="11"/>
      <c r="RSO75" s="14"/>
      <c r="RSP75" s="113"/>
      <c r="RSQ75" s="114"/>
      <c r="RSR75" s="115"/>
      <c r="RSS75" s="18"/>
      <c r="RST75" s="52"/>
      <c r="RSU75" s="53"/>
      <c r="RSV75" s="54"/>
      <c r="RSW75" s="11"/>
      <c r="RSX75" s="14"/>
      <c r="RSY75" s="113"/>
      <c r="RSZ75" s="114"/>
      <c r="RTA75" s="115"/>
      <c r="RTB75" s="18"/>
      <c r="RTC75" s="52"/>
      <c r="RTD75" s="53"/>
      <c r="RTE75" s="54"/>
      <c r="RTF75" s="11"/>
      <c r="RTG75" s="14"/>
      <c r="RTH75" s="113"/>
      <c r="RTI75" s="114"/>
      <c r="RTJ75" s="115"/>
      <c r="RTK75" s="18"/>
      <c r="RTL75" s="52"/>
      <c r="RTM75" s="53"/>
      <c r="RTN75" s="54"/>
      <c r="RTO75" s="11"/>
      <c r="RTP75" s="14"/>
      <c r="RTQ75" s="113"/>
      <c r="RTR75" s="114"/>
      <c r="RTS75" s="115"/>
      <c r="RTT75" s="18"/>
      <c r="RTU75" s="52"/>
      <c r="RTV75" s="53"/>
      <c r="RTW75" s="54"/>
      <c r="RTX75" s="11"/>
      <c r="RTY75" s="14"/>
      <c r="RTZ75" s="113"/>
      <c r="RUA75" s="114"/>
      <c r="RUB75" s="115"/>
      <c r="RUC75" s="18"/>
      <c r="RUD75" s="52"/>
      <c r="RUE75" s="53"/>
      <c r="RUF75" s="54"/>
      <c r="RUG75" s="11"/>
      <c r="RUH75" s="14"/>
      <c r="RUI75" s="113"/>
      <c r="RUJ75" s="114"/>
      <c r="RUK75" s="115"/>
      <c r="RUL75" s="18"/>
      <c r="RUM75" s="52"/>
      <c r="RUN75" s="53"/>
      <c r="RUO75" s="54"/>
      <c r="RUP75" s="11"/>
      <c r="RUQ75" s="14"/>
      <c r="RUR75" s="113"/>
      <c r="RUS75" s="114"/>
      <c r="RUT75" s="115"/>
      <c r="RUU75" s="18"/>
      <c r="RUV75" s="52"/>
      <c r="RUW75" s="53"/>
      <c r="RUX75" s="54"/>
      <c r="RUY75" s="11"/>
      <c r="RUZ75" s="14"/>
      <c r="RVA75" s="113"/>
      <c r="RVB75" s="114"/>
      <c r="RVC75" s="115"/>
      <c r="RVD75" s="18"/>
      <c r="RVE75" s="52"/>
      <c r="RVF75" s="53"/>
      <c r="RVG75" s="54"/>
      <c r="RVH75" s="11"/>
      <c r="RVI75" s="14"/>
      <c r="RVJ75" s="113"/>
      <c r="RVK75" s="114"/>
      <c r="RVL75" s="115"/>
      <c r="RVM75" s="18"/>
      <c r="RVN75" s="52"/>
      <c r="RVO75" s="53"/>
      <c r="RVP75" s="54"/>
      <c r="RVQ75" s="11"/>
      <c r="RVR75" s="14"/>
      <c r="RVS75" s="113"/>
      <c r="RVT75" s="114"/>
      <c r="RVU75" s="115"/>
      <c r="RVV75" s="18"/>
      <c r="RVW75" s="52"/>
      <c r="RVX75" s="53"/>
      <c r="RVY75" s="54"/>
      <c r="RVZ75" s="11"/>
      <c r="RWA75" s="14"/>
      <c r="RWB75" s="113"/>
      <c r="RWC75" s="114"/>
      <c r="RWD75" s="115"/>
      <c r="RWE75" s="18"/>
      <c r="RWF75" s="52"/>
      <c r="RWG75" s="53"/>
      <c r="RWH75" s="54"/>
      <c r="RWI75" s="11"/>
      <c r="RWJ75" s="14"/>
      <c r="RWK75" s="113"/>
      <c r="RWL75" s="114"/>
      <c r="RWM75" s="115"/>
      <c r="RWN75" s="18"/>
      <c r="RWO75" s="52"/>
      <c r="RWP75" s="53"/>
      <c r="RWQ75" s="54"/>
      <c r="RWR75" s="11"/>
      <c r="RWS75" s="14"/>
      <c r="RWT75" s="113"/>
      <c r="RWU75" s="114"/>
      <c r="RWV75" s="115"/>
      <c r="RWW75" s="18"/>
      <c r="RWX75" s="52"/>
      <c r="RWY75" s="53"/>
      <c r="RWZ75" s="54"/>
      <c r="RXA75" s="11"/>
      <c r="RXB75" s="14"/>
      <c r="RXC75" s="113"/>
      <c r="RXD75" s="114"/>
      <c r="RXE75" s="115"/>
      <c r="RXF75" s="18"/>
      <c r="RXG75" s="52"/>
      <c r="RXH75" s="53"/>
      <c r="RXI75" s="54"/>
      <c r="RXJ75" s="11"/>
      <c r="RXK75" s="14"/>
      <c r="RXL75" s="113"/>
      <c r="RXM75" s="114"/>
      <c r="RXN75" s="115"/>
      <c r="RXO75" s="18"/>
      <c r="RXP75" s="52"/>
      <c r="RXQ75" s="53"/>
      <c r="RXR75" s="54"/>
      <c r="RXS75" s="11"/>
      <c r="RXT75" s="14"/>
      <c r="RXU75" s="113"/>
      <c r="RXV75" s="114"/>
      <c r="RXW75" s="115"/>
      <c r="RXX75" s="18"/>
      <c r="RXY75" s="52"/>
      <c r="RXZ75" s="53"/>
      <c r="RYA75" s="54"/>
      <c r="RYB75" s="11"/>
      <c r="RYC75" s="14"/>
      <c r="RYD75" s="113"/>
      <c r="RYE75" s="114"/>
      <c r="RYF75" s="115"/>
      <c r="RYG75" s="18"/>
      <c r="RYH75" s="52"/>
      <c r="RYI75" s="53"/>
      <c r="RYJ75" s="54"/>
      <c r="RYK75" s="11"/>
      <c r="RYL75" s="14"/>
      <c r="RYM75" s="113"/>
      <c r="RYN75" s="114"/>
      <c r="RYO75" s="115"/>
      <c r="RYP75" s="18"/>
      <c r="RYQ75" s="52"/>
      <c r="RYR75" s="53"/>
      <c r="RYS75" s="54"/>
      <c r="RYT75" s="11"/>
      <c r="RYU75" s="14"/>
      <c r="RYV75" s="113"/>
      <c r="RYW75" s="114"/>
      <c r="RYX75" s="115"/>
      <c r="RYY75" s="18"/>
      <c r="RYZ75" s="52"/>
      <c r="RZA75" s="53"/>
      <c r="RZB75" s="54"/>
      <c r="RZC75" s="11"/>
      <c r="RZD75" s="14"/>
      <c r="RZE75" s="113"/>
      <c r="RZF75" s="114"/>
      <c r="RZG75" s="115"/>
      <c r="RZH75" s="18"/>
      <c r="RZI75" s="52"/>
      <c r="RZJ75" s="53"/>
      <c r="RZK75" s="54"/>
      <c r="RZL75" s="11"/>
      <c r="RZM75" s="14"/>
      <c r="RZN75" s="113"/>
      <c r="RZO75" s="114"/>
      <c r="RZP75" s="115"/>
      <c r="RZQ75" s="18"/>
      <c r="RZR75" s="52"/>
      <c r="RZS75" s="53"/>
      <c r="RZT75" s="54"/>
      <c r="RZU75" s="11"/>
      <c r="RZV75" s="14"/>
      <c r="RZW75" s="113"/>
      <c r="RZX75" s="114"/>
      <c r="RZY75" s="115"/>
      <c r="RZZ75" s="18"/>
      <c r="SAA75" s="52"/>
      <c r="SAB75" s="53"/>
      <c r="SAC75" s="54"/>
      <c r="SAD75" s="11"/>
      <c r="SAE75" s="14"/>
      <c r="SAF75" s="113"/>
      <c r="SAG75" s="114"/>
      <c r="SAH75" s="115"/>
      <c r="SAI75" s="18"/>
      <c r="SAJ75" s="52"/>
      <c r="SAK75" s="53"/>
      <c r="SAL75" s="54"/>
      <c r="SAM75" s="11"/>
      <c r="SAN75" s="14"/>
      <c r="SAO75" s="113"/>
      <c r="SAP75" s="114"/>
      <c r="SAQ75" s="115"/>
      <c r="SAR75" s="18"/>
      <c r="SAS75" s="52"/>
      <c r="SAT75" s="53"/>
      <c r="SAU75" s="54"/>
      <c r="SAV75" s="11"/>
      <c r="SAW75" s="14"/>
      <c r="SAX75" s="113"/>
      <c r="SAY75" s="114"/>
      <c r="SAZ75" s="115"/>
      <c r="SBA75" s="18"/>
      <c r="SBB75" s="52"/>
      <c r="SBC75" s="53"/>
      <c r="SBD75" s="54"/>
      <c r="SBE75" s="11"/>
      <c r="SBF75" s="14"/>
      <c r="SBG75" s="113"/>
      <c r="SBH75" s="114"/>
      <c r="SBI75" s="115"/>
      <c r="SBJ75" s="18"/>
      <c r="SBK75" s="52"/>
      <c r="SBL75" s="53"/>
      <c r="SBM75" s="54"/>
      <c r="SBN75" s="11"/>
      <c r="SBO75" s="14"/>
      <c r="SBP75" s="113"/>
      <c r="SBQ75" s="114"/>
      <c r="SBR75" s="115"/>
      <c r="SBS75" s="18"/>
      <c r="SBT75" s="52"/>
      <c r="SBU75" s="53"/>
      <c r="SBV75" s="54"/>
      <c r="SBW75" s="11"/>
      <c r="SBX75" s="14"/>
      <c r="SBY75" s="113"/>
      <c r="SBZ75" s="114"/>
      <c r="SCA75" s="115"/>
      <c r="SCB75" s="18"/>
      <c r="SCC75" s="52"/>
      <c r="SCD75" s="53"/>
      <c r="SCE75" s="54"/>
      <c r="SCF75" s="11"/>
      <c r="SCG75" s="14"/>
      <c r="SCH75" s="113"/>
      <c r="SCI75" s="114"/>
      <c r="SCJ75" s="115"/>
      <c r="SCK75" s="18"/>
      <c r="SCL75" s="52"/>
      <c r="SCM75" s="53"/>
      <c r="SCN75" s="54"/>
      <c r="SCO75" s="11"/>
      <c r="SCP75" s="14"/>
      <c r="SCQ75" s="113"/>
      <c r="SCR75" s="114"/>
      <c r="SCS75" s="115"/>
      <c r="SCT75" s="18"/>
      <c r="SCU75" s="52"/>
      <c r="SCV75" s="53"/>
      <c r="SCW75" s="54"/>
      <c r="SCX75" s="11"/>
      <c r="SCY75" s="14"/>
      <c r="SCZ75" s="113"/>
      <c r="SDA75" s="114"/>
      <c r="SDB75" s="115"/>
      <c r="SDC75" s="18"/>
      <c r="SDD75" s="52"/>
      <c r="SDE75" s="53"/>
      <c r="SDF75" s="54"/>
      <c r="SDG75" s="11"/>
      <c r="SDH75" s="14"/>
      <c r="SDI75" s="113"/>
      <c r="SDJ75" s="114"/>
      <c r="SDK75" s="115"/>
      <c r="SDL75" s="18"/>
      <c r="SDM75" s="52"/>
      <c r="SDN75" s="53"/>
      <c r="SDO75" s="54"/>
      <c r="SDP75" s="11"/>
      <c r="SDQ75" s="14"/>
      <c r="SDR75" s="113"/>
      <c r="SDS75" s="114"/>
      <c r="SDT75" s="115"/>
      <c r="SDU75" s="18"/>
      <c r="SDV75" s="52"/>
      <c r="SDW75" s="53"/>
      <c r="SDX75" s="54"/>
      <c r="SDY75" s="11"/>
      <c r="SDZ75" s="14"/>
      <c r="SEA75" s="113"/>
      <c r="SEB75" s="114"/>
      <c r="SEC75" s="115"/>
      <c r="SED75" s="18"/>
      <c r="SEE75" s="52"/>
      <c r="SEF75" s="53"/>
      <c r="SEG75" s="54"/>
      <c r="SEH75" s="11"/>
      <c r="SEI75" s="14"/>
      <c r="SEJ75" s="113"/>
      <c r="SEK75" s="114"/>
      <c r="SEL75" s="115"/>
      <c r="SEM75" s="18"/>
      <c r="SEN75" s="52"/>
      <c r="SEO75" s="53"/>
      <c r="SEP75" s="54"/>
      <c r="SEQ75" s="11"/>
      <c r="SER75" s="14"/>
      <c r="SES75" s="113"/>
      <c r="SET75" s="114"/>
      <c r="SEU75" s="115"/>
      <c r="SEV75" s="18"/>
      <c r="SEW75" s="52"/>
      <c r="SEX75" s="53"/>
      <c r="SEY75" s="54"/>
      <c r="SEZ75" s="11"/>
      <c r="SFA75" s="14"/>
      <c r="SFB75" s="113"/>
      <c r="SFC75" s="114"/>
      <c r="SFD75" s="115"/>
      <c r="SFE75" s="18"/>
      <c r="SFF75" s="52"/>
      <c r="SFG75" s="53"/>
      <c r="SFH75" s="54"/>
      <c r="SFI75" s="11"/>
      <c r="SFJ75" s="14"/>
      <c r="SFK75" s="113"/>
      <c r="SFL75" s="114"/>
      <c r="SFM75" s="115"/>
      <c r="SFN75" s="18"/>
      <c r="SFO75" s="52"/>
      <c r="SFP75" s="53"/>
      <c r="SFQ75" s="54"/>
      <c r="SFR75" s="11"/>
      <c r="SFS75" s="14"/>
      <c r="SFT75" s="113"/>
      <c r="SFU75" s="114"/>
      <c r="SFV75" s="115"/>
      <c r="SFW75" s="18"/>
      <c r="SFX75" s="52"/>
      <c r="SFY75" s="53"/>
      <c r="SFZ75" s="54"/>
      <c r="SGA75" s="11"/>
      <c r="SGB75" s="14"/>
      <c r="SGC75" s="113"/>
      <c r="SGD75" s="114"/>
      <c r="SGE75" s="115"/>
      <c r="SGF75" s="18"/>
      <c r="SGG75" s="52"/>
      <c r="SGH75" s="53"/>
      <c r="SGI75" s="54"/>
      <c r="SGJ75" s="11"/>
      <c r="SGK75" s="14"/>
      <c r="SGL75" s="113"/>
      <c r="SGM75" s="114"/>
      <c r="SGN75" s="115"/>
      <c r="SGO75" s="18"/>
      <c r="SGP75" s="52"/>
      <c r="SGQ75" s="53"/>
      <c r="SGR75" s="54"/>
      <c r="SGS75" s="11"/>
      <c r="SGT75" s="14"/>
      <c r="SGU75" s="113"/>
      <c r="SGV75" s="114"/>
      <c r="SGW75" s="115"/>
      <c r="SGX75" s="18"/>
      <c r="SGY75" s="52"/>
      <c r="SGZ75" s="53"/>
      <c r="SHA75" s="54"/>
      <c r="SHB75" s="11"/>
      <c r="SHC75" s="14"/>
      <c r="SHD75" s="113"/>
      <c r="SHE75" s="114"/>
      <c r="SHF75" s="115"/>
      <c r="SHG75" s="18"/>
      <c r="SHH75" s="52"/>
      <c r="SHI75" s="53"/>
      <c r="SHJ75" s="54"/>
      <c r="SHK75" s="11"/>
      <c r="SHL75" s="14"/>
      <c r="SHM75" s="113"/>
      <c r="SHN75" s="114"/>
      <c r="SHO75" s="115"/>
      <c r="SHP75" s="18"/>
      <c r="SHQ75" s="52"/>
      <c r="SHR75" s="53"/>
      <c r="SHS75" s="54"/>
      <c r="SHT75" s="11"/>
      <c r="SHU75" s="14"/>
      <c r="SHV75" s="113"/>
      <c r="SHW75" s="114"/>
      <c r="SHX75" s="115"/>
      <c r="SHY75" s="18"/>
      <c r="SHZ75" s="52"/>
      <c r="SIA75" s="53"/>
      <c r="SIB75" s="54"/>
      <c r="SIC75" s="11"/>
      <c r="SID75" s="14"/>
      <c r="SIE75" s="113"/>
      <c r="SIF75" s="114"/>
      <c r="SIG75" s="115"/>
      <c r="SIH75" s="18"/>
      <c r="SII75" s="52"/>
      <c r="SIJ75" s="53"/>
      <c r="SIK75" s="54"/>
      <c r="SIL75" s="11"/>
      <c r="SIM75" s="14"/>
      <c r="SIN75" s="113"/>
      <c r="SIO75" s="114"/>
      <c r="SIP75" s="115"/>
      <c r="SIQ75" s="18"/>
      <c r="SIR75" s="52"/>
      <c r="SIS75" s="53"/>
      <c r="SIT75" s="54"/>
      <c r="SIU75" s="11"/>
      <c r="SIV75" s="14"/>
      <c r="SIW75" s="113"/>
      <c r="SIX75" s="114"/>
      <c r="SIY75" s="115"/>
      <c r="SIZ75" s="18"/>
      <c r="SJA75" s="52"/>
      <c r="SJB75" s="53"/>
      <c r="SJC75" s="54"/>
      <c r="SJD75" s="11"/>
      <c r="SJE75" s="14"/>
      <c r="SJF75" s="113"/>
      <c r="SJG75" s="114"/>
      <c r="SJH75" s="115"/>
      <c r="SJI75" s="18"/>
      <c r="SJJ75" s="52"/>
      <c r="SJK75" s="53"/>
      <c r="SJL75" s="54"/>
      <c r="SJM75" s="11"/>
      <c r="SJN75" s="14"/>
      <c r="SJO75" s="113"/>
      <c r="SJP75" s="114"/>
      <c r="SJQ75" s="115"/>
      <c r="SJR75" s="18"/>
      <c r="SJS75" s="52"/>
      <c r="SJT75" s="53"/>
      <c r="SJU75" s="54"/>
      <c r="SJV75" s="11"/>
      <c r="SJW75" s="14"/>
      <c r="SJX75" s="113"/>
      <c r="SJY75" s="114"/>
      <c r="SJZ75" s="115"/>
      <c r="SKA75" s="18"/>
      <c r="SKB75" s="52"/>
      <c r="SKC75" s="53"/>
      <c r="SKD75" s="54"/>
      <c r="SKE75" s="11"/>
      <c r="SKF75" s="14"/>
      <c r="SKG75" s="113"/>
      <c r="SKH75" s="114"/>
      <c r="SKI75" s="115"/>
      <c r="SKJ75" s="18"/>
      <c r="SKK75" s="52"/>
      <c r="SKL75" s="53"/>
      <c r="SKM75" s="54"/>
      <c r="SKN75" s="11"/>
      <c r="SKO75" s="14"/>
      <c r="SKP75" s="113"/>
      <c r="SKQ75" s="114"/>
      <c r="SKR75" s="115"/>
      <c r="SKS75" s="18"/>
      <c r="SKT75" s="52"/>
      <c r="SKU75" s="53"/>
      <c r="SKV75" s="54"/>
      <c r="SKW75" s="11"/>
      <c r="SKX75" s="14"/>
      <c r="SKY75" s="113"/>
      <c r="SKZ75" s="114"/>
      <c r="SLA75" s="115"/>
      <c r="SLB75" s="18"/>
      <c r="SLC75" s="52"/>
      <c r="SLD75" s="53"/>
      <c r="SLE75" s="54"/>
      <c r="SLF75" s="11"/>
      <c r="SLG75" s="14"/>
      <c r="SLH75" s="113"/>
      <c r="SLI75" s="114"/>
      <c r="SLJ75" s="115"/>
      <c r="SLK75" s="18"/>
      <c r="SLL75" s="52"/>
      <c r="SLM75" s="53"/>
      <c r="SLN75" s="54"/>
      <c r="SLO75" s="11"/>
      <c r="SLP75" s="14"/>
      <c r="SLQ75" s="113"/>
      <c r="SLR75" s="114"/>
      <c r="SLS75" s="115"/>
      <c r="SLT75" s="18"/>
      <c r="SLU75" s="52"/>
      <c r="SLV75" s="53"/>
      <c r="SLW75" s="54"/>
      <c r="SLX75" s="11"/>
      <c r="SLY75" s="14"/>
      <c r="SLZ75" s="113"/>
      <c r="SMA75" s="114"/>
      <c r="SMB75" s="115"/>
      <c r="SMC75" s="18"/>
      <c r="SMD75" s="52"/>
      <c r="SME75" s="53"/>
      <c r="SMF75" s="54"/>
      <c r="SMG75" s="11"/>
      <c r="SMH75" s="14"/>
      <c r="SMI75" s="113"/>
      <c r="SMJ75" s="114"/>
      <c r="SMK75" s="115"/>
      <c r="SML75" s="18"/>
      <c r="SMM75" s="52"/>
      <c r="SMN75" s="53"/>
      <c r="SMO75" s="54"/>
      <c r="SMP75" s="11"/>
      <c r="SMQ75" s="14"/>
      <c r="SMR75" s="113"/>
      <c r="SMS75" s="114"/>
      <c r="SMT75" s="115"/>
      <c r="SMU75" s="18"/>
      <c r="SMV75" s="52"/>
      <c r="SMW75" s="53"/>
      <c r="SMX75" s="54"/>
      <c r="SMY75" s="11"/>
      <c r="SMZ75" s="14"/>
      <c r="SNA75" s="113"/>
      <c r="SNB75" s="114"/>
      <c r="SNC75" s="115"/>
      <c r="SND75" s="18"/>
      <c r="SNE75" s="52"/>
      <c r="SNF75" s="53"/>
      <c r="SNG75" s="54"/>
      <c r="SNH75" s="11"/>
      <c r="SNI75" s="14"/>
      <c r="SNJ75" s="113"/>
      <c r="SNK75" s="114"/>
      <c r="SNL75" s="115"/>
      <c r="SNM75" s="18"/>
      <c r="SNN75" s="52"/>
      <c r="SNO75" s="53"/>
      <c r="SNP75" s="54"/>
      <c r="SNQ75" s="11"/>
      <c r="SNR75" s="14"/>
      <c r="SNS75" s="113"/>
      <c r="SNT75" s="114"/>
      <c r="SNU75" s="115"/>
      <c r="SNV75" s="18"/>
      <c r="SNW75" s="52"/>
      <c r="SNX75" s="53"/>
      <c r="SNY75" s="54"/>
      <c r="SNZ75" s="11"/>
      <c r="SOA75" s="14"/>
      <c r="SOB75" s="113"/>
      <c r="SOC75" s="114"/>
      <c r="SOD75" s="115"/>
      <c r="SOE75" s="18"/>
      <c r="SOF75" s="52"/>
      <c r="SOG75" s="53"/>
      <c r="SOH75" s="54"/>
      <c r="SOI75" s="11"/>
      <c r="SOJ75" s="14"/>
      <c r="SOK75" s="113"/>
      <c r="SOL75" s="114"/>
      <c r="SOM75" s="115"/>
      <c r="SON75" s="18"/>
      <c r="SOO75" s="52"/>
      <c r="SOP75" s="53"/>
      <c r="SOQ75" s="54"/>
      <c r="SOR75" s="11"/>
      <c r="SOS75" s="14"/>
      <c r="SOT75" s="113"/>
      <c r="SOU75" s="114"/>
      <c r="SOV75" s="115"/>
      <c r="SOW75" s="18"/>
      <c r="SOX75" s="52"/>
      <c r="SOY75" s="53"/>
      <c r="SOZ75" s="54"/>
      <c r="SPA75" s="11"/>
      <c r="SPB75" s="14"/>
      <c r="SPC75" s="113"/>
      <c r="SPD75" s="114"/>
      <c r="SPE75" s="115"/>
      <c r="SPF75" s="18"/>
      <c r="SPG75" s="52"/>
      <c r="SPH75" s="53"/>
      <c r="SPI75" s="54"/>
      <c r="SPJ75" s="11"/>
      <c r="SPK75" s="14"/>
      <c r="SPL75" s="113"/>
      <c r="SPM75" s="114"/>
      <c r="SPN75" s="115"/>
      <c r="SPO75" s="18"/>
      <c r="SPP75" s="52"/>
      <c r="SPQ75" s="53"/>
      <c r="SPR75" s="54"/>
      <c r="SPS75" s="11"/>
      <c r="SPT75" s="14"/>
      <c r="SPU75" s="113"/>
      <c r="SPV75" s="114"/>
      <c r="SPW75" s="115"/>
      <c r="SPX75" s="18"/>
      <c r="SPY75" s="52"/>
      <c r="SPZ75" s="53"/>
      <c r="SQA75" s="54"/>
      <c r="SQB75" s="11"/>
      <c r="SQC75" s="14"/>
      <c r="SQD75" s="113"/>
      <c r="SQE75" s="114"/>
      <c r="SQF75" s="115"/>
      <c r="SQG75" s="18"/>
      <c r="SQH75" s="52"/>
      <c r="SQI75" s="53"/>
      <c r="SQJ75" s="54"/>
      <c r="SQK75" s="11"/>
      <c r="SQL75" s="14"/>
      <c r="SQM75" s="113"/>
      <c r="SQN75" s="114"/>
      <c r="SQO75" s="115"/>
      <c r="SQP75" s="18"/>
      <c r="SQQ75" s="52"/>
      <c r="SQR75" s="53"/>
      <c r="SQS75" s="54"/>
      <c r="SQT75" s="11"/>
      <c r="SQU75" s="14"/>
      <c r="SQV75" s="113"/>
      <c r="SQW75" s="114"/>
      <c r="SQX75" s="115"/>
      <c r="SQY75" s="18"/>
      <c r="SQZ75" s="52"/>
      <c r="SRA75" s="53"/>
      <c r="SRB75" s="54"/>
      <c r="SRC75" s="11"/>
      <c r="SRD75" s="14"/>
      <c r="SRE75" s="113"/>
      <c r="SRF75" s="114"/>
      <c r="SRG75" s="115"/>
      <c r="SRH75" s="18"/>
      <c r="SRI75" s="52"/>
      <c r="SRJ75" s="53"/>
      <c r="SRK75" s="54"/>
      <c r="SRL75" s="11"/>
      <c r="SRM75" s="14"/>
      <c r="SRN75" s="113"/>
      <c r="SRO75" s="114"/>
      <c r="SRP75" s="115"/>
      <c r="SRQ75" s="18"/>
      <c r="SRR75" s="52"/>
      <c r="SRS75" s="53"/>
      <c r="SRT75" s="54"/>
      <c r="SRU75" s="11"/>
      <c r="SRV75" s="14"/>
      <c r="SRW75" s="113"/>
      <c r="SRX75" s="114"/>
      <c r="SRY75" s="115"/>
      <c r="SRZ75" s="18"/>
      <c r="SSA75" s="52"/>
      <c r="SSB75" s="53"/>
      <c r="SSC75" s="54"/>
      <c r="SSD75" s="11"/>
      <c r="SSE75" s="14"/>
      <c r="SSF75" s="113"/>
      <c r="SSG75" s="114"/>
      <c r="SSH75" s="115"/>
      <c r="SSI75" s="18"/>
      <c r="SSJ75" s="52"/>
      <c r="SSK75" s="53"/>
      <c r="SSL75" s="54"/>
      <c r="SSM75" s="11"/>
      <c r="SSN75" s="14"/>
      <c r="SSO75" s="113"/>
      <c r="SSP75" s="114"/>
      <c r="SSQ75" s="115"/>
      <c r="SSR75" s="18"/>
      <c r="SSS75" s="52"/>
      <c r="SST75" s="53"/>
      <c r="SSU75" s="54"/>
      <c r="SSV75" s="11"/>
      <c r="SSW75" s="14"/>
      <c r="SSX75" s="113"/>
      <c r="SSY75" s="114"/>
      <c r="SSZ75" s="115"/>
      <c r="STA75" s="18"/>
      <c r="STB75" s="52"/>
      <c r="STC75" s="53"/>
      <c r="STD75" s="54"/>
      <c r="STE75" s="11"/>
      <c r="STF75" s="14"/>
      <c r="STG75" s="113"/>
      <c r="STH75" s="114"/>
      <c r="STI75" s="115"/>
      <c r="STJ75" s="18"/>
      <c r="STK75" s="52"/>
      <c r="STL75" s="53"/>
      <c r="STM75" s="54"/>
      <c r="STN75" s="11"/>
      <c r="STO75" s="14"/>
      <c r="STP75" s="113"/>
      <c r="STQ75" s="114"/>
      <c r="STR75" s="115"/>
      <c r="STS75" s="18"/>
      <c r="STT75" s="52"/>
      <c r="STU75" s="53"/>
      <c r="STV75" s="54"/>
      <c r="STW75" s="11"/>
      <c r="STX75" s="14"/>
      <c r="STY75" s="113"/>
      <c r="STZ75" s="114"/>
      <c r="SUA75" s="115"/>
      <c r="SUB75" s="18"/>
      <c r="SUC75" s="52"/>
      <c r="SUD75" s="53"/>
      <c r="SUE75" s="54"/>
      <c r="SUF75" s="11"/>
      <c r="SUG75" s="14"/>
      <c r="SUH75" s="113"/>
      <c r="SUI75" s="114"/>
      <c r="SUJ75" s="115"/>
      <c r="SUK75" s="18"/>
      <c r="SUL75" s="52"/>
      <c r="SUM75" s="53"/>
      <c r="SUN75" s="54"/>
      <c r="SUO75" s="11"/>
      <c r="SUP75" s="14"/>
      <c r="SUQ75" s="113"/>
      <c r="SUR75" s="114"/>
      <c r="SUS75" s="115"/>
      <c r="SUT75" s="18"/>
      <c r="SUU75" s="52"/>
      <c r="SUV75" s="53"/>
      <c r="SUW75" s="54"/>
      <c r="SUX75" s="11"/>
      <c r="SUY75" s="14"/>
      <c r="SUZ75" s="113"/>
      <c r="SVA75" s="114"/>
      <c r="SVB75" s="115"/>
      <c r="SVC75" s="18"/>
      <c r="SVD75" s="52"/>
      <c r="SVE75" s="53"/>
      <c r="SVF75" s="54"/>
      <c r="SVG75" s="11"/>
      <c r="SVH75" s="14"/>
      <c r="SVI75" s="113"/>
      <c r="SVJ75" s="114"/>
      <c r="SVK75" s="115"/>
      <c r="SVL75" s="18"/>
      <c r="SVM75" s="52"/>
      <c r="SVN75" s="53"/>
      <c r="SVO75" s="54"/>
      <c r="SVP75" s="11"/>
      <c r="SVQ75" s="14"/>
      <c r="SVR75" s="113"/>
      <c r="SVS75" s="114"/>
      <c r="SVT75" s="115"/>
      <c r="SVU75" s="18"/>
      <c r="SVV75" s="52"/>
      <c r="SVW75" s="53"/>
      <c r="SVX75" s="54"/>
      <c r="SVY75" s="11"/>
      <c r="SVZ75" s="14"/>
      <c r="SWA75" s="113"/>
      <c r="SWB75" s="114"/>
      <c r="SWC75" s="115"/>
      <c r="SWD75" s="18"/>
      <c r="SWE75" s="52"/>
      <c r="SWF75" s="53"/>
      <c r="SWG75" s="54"/>
      <c r="SWH75" s="11"/>
      <c r="SWI75" s="14"/>
      <c r="SWJ75" s="113"/>
      <c r="SWK75" s="114"/>
      <c r="SWL75" s="115"/>
      <c r="SWM75" s="18"/>
      <c r="SWN75" s="52"/>
      <c r="SWO75" s="53"/>
      <c r="SWP75" s="54"/>
      <c r="SWQ75" s="11"/>
      <c r="SWR75" s="14"/>
      <c r="SWS75" s="113"/>
      <c r="SWT75" s="114"/>
      <c r="SWU75" s="115"/>
      <c r="SWV75" s="18"/>
      <c r="SWW75" s="52"/>
      <c r="SWX75" s="53"/>
      <c r="SWY75" s="54"/>
      <c r="SWZ75" s="11"/>
      <c r="SXA75" s="14"/>
      <c r="SXB75" s="113"/>
      <c r="SXC75" s="114"/>
      <c r="SXD75" s="115"/>
      <c r="SXE75" s="18"/>
      <c r="SXF75" s="52"/>
      <c r="SXG75" s="53"/>
      <c r="SXH75" s="54"/>
      <c r="SXI75" s="11"/>
      <c r="SXJ75" s="14"/>
      <c r="SXK75" s="113"/>
      <c r="SXL75" s="114"/>
      <c r="SXM75" s="115"/>
      <c r="SXN75" s="18"/>
      <c r="SXO75" s="52"/>
      <c r="SXP75" s="53"/>
      <c r="SXQ75" s="54"/>
      <c r="SXR75" s="11"/>
      <c r="SXS75" s="14"/>
      <c r="SXT75" s="113"/>
      <c r="SXU75" s="114"/>
      <c r="SXV75" s="115"/>
      <c r="SXW75" s="18"/>
      <c r="SXX75" s="52"/>
      <c r="SXY75" s="53"/>
      <c r="SXZ75" s="54"/>
      <c r="SYA75" s="11"/>
      <c r="SYB75" s="14"/>
      <c r="SYC75" s="113"/>
      <c r="SYD75" s="114"/>
      <c r="SYE75" s="115"/>
      <c r="SYF75" s="18"/>
      <c r="SYG75" s="52"/>
      <c r="SYH75" s="53"/>
      <c r="SYI75" s="54"/>
      <c r="SYJ75" s="11"/>
      <c r="SYK75" s="14"/>
      <c r="SYL75" s="113"/>
      <c r="SYM75" s="114"/>
      <c r="SYN75" s="115"/>
      <c r="SYO75" s="18"/>
      <c r="SYP75" s="52"/>
      <c r="SYQ75" s="53"/>
      <c r="SYR75" s="54"/>
      <c r="SYS75" s="11"/>
      <c r="SYT75" s="14"/>
      <c r="SYU75" s="113"/>
      <c r="SYV75" s="114"/>
      <c r="SYW75" s="115"/>
      <c r="SYX75" s="18"/>
      <c r="SYY75" s="52"/>
      <c r="SYZ75" s="53"/>
      <c r="SZA75" s="54"/>
      <c r="SZB75" s="11"/>
      <c r="SZC75" s="14"/>
      <c r="SZD75" s="113"/>
      <c r="SZE75" s="114"/>
      <c r="SZF75" s="115"/>
      <c r="SZG75" s="18"/>
      <c r="SZH75" s="52"/>
      <c r="SZI75" s="53"/>
      <c r="SZJ75" s="54"/>
      <c r="SZK75" s="11"/>
      <c r="SZL75" s="14"/>
      <c r="SZM75" s="113"/>
      <c r="SZN75" s="114"/>
      <c r="SZO75" s="115"/>
      <c r="SZP75" s="18"/>
      <c r="SZQ75" s="52"/>
      <c r="SZR75" s="53"/>
      <c r="SZS75" s="54"/>
      <c r="SZT75" s="11"/>
      <c r="SZU75" s="14"/>
      <c r="SZV75" s="113"/>
      <c r="SZW75" s="114"/>
      <c r="SZX75" s="115"/>
      <c r="SZY75" s="18"/>
      <c r="SZZ75" s="52"/>
      <c r="TAA75" s="53"/>
      <c r="TAB75" s="54"/>
      <c r="TAC75" s="11"/>
      <c r="TAD75" s="14"/>
      <c r="TAE75" s="113"/>
      <c r="TAF75" s="114"/>
      <c r="TAG75" s="115"/>
      <c r="TAH75" s="18"/>
      <c r="TAI75" s="52"/>
      <c r="TAJ75" s="53"/>
      <c r="TAK75" s="54"/>
      <c r="TAL75" s="11"/>
      <c r="TAM75" s="14"/>
      <c r="TAN75" s="113"/>
      <c r="TAO75" s="114"/>
      <c r="TAP75" s="115"/>
      <c r="TAQ75" s="18"/>
      <c r="TAR75" s="52"/>
      <c r="TAS75" s="53"/>
      <c r="TAT75" s="54"/>
      <c r="TAU75" s="11"/>
      <c r="TAV75" s="14"/>
      <c r="TAW75" s="113"/>
      <c r="TAX75" s="114"/>
      <c r="TAY75" s="115"/>
      <c r="TAZ75" s="18"/>
      <c r="TBA75" s="52"/>
      <c r="TBB75" s="53"/>
      <c r="TBC75" s="54"/>
      <c r="TBD75" s="11"/>
      <c r="TBE75" s="14"/>
      <c r="TBF75" s="113"/>
      <c r="TBG75" s="114"/>
      <c r="TBH75" s="115"/>
      <c r="TBI75" s="18"/>
      <c r="TBJ75" s="52"/>
      <c r="TBK75" s="53"/>
      <c r="TBL75" s="54"/>
      <c r="TBM75" s="11"/>
      <c r="TBN75" s="14"/>
      <c r="TBO75" s="113"/>
      <c r="TBP75" s="114"/>
      <c r="TBQ75" s="115"/>
      <c r="TBR75" s="18"/>
      <c r="TBS75" s="52"/>
      <c r="TBT75" s="53"/>
      <c r="TBU75" s="54"/>
      <c r="TBV75" s="11"/>
      <c r="TBW75" s="14"/>
      <c r="TBX75" s="113"/>
      <c r="TBY75" s="114"/>
      <c r="TBZ75" s="115"/>
      <c r="TCA75" s="18"/>
      <c r="TCB75" s="52"/>
      <c r="TCC75" s="53"/>
      <c r="TCD75" s="54"/>
      <c r="TCE75" s="11"/>
      <c r="TCF75" s="14"/>
      <c r="TCG75" s="113"/>
      <c r="TCH75" s="114"/>
      <c r="TCI75" s="115"/>
      <c r="TCJ75" s="18"/>
      <c r="TCK75" s="52"/>
      <c r="TCL75" s="53"/>
      <c r="TCM75" s="54"/>
      <c r="TCN75" s="11"/>
      <c r="TCO75" s="14"/>
      <c r="TCP75" s="113"/>
      <c r="TCQ75" s="114"/>
      <c r="TCR75" s="115"/>
      <c r="TCS75" s="18"/>
      <c r="TCT75" s="52"/>
      <c r="TCU75" s="53"/>
      <c r="TCV75" s="54"/>
      <c r="TCW75" s="11"/>
      <c r="TCX75" s="14"/>
      <c r="TCY75" s="113"/>
      <c r="TCZ75" s="114"/>
      <c r="TDA75" s="115"/>
      <c r="TDB75" s="18"/>
      <c r="TDC75" s="52"/>
      <c r="TDD75" s="53"/>
      <c r="TDE75" s="54"/>
      <c r="TDF75" s="11"/>
      <c r="TDG75" s="14"/>
      <c r="TDH75" s="113"/>
      <c r="TDI75" s="114"/>
      <c r="TDJ75" s="115"/>
      <c r="TDK75" s="18"/>
      <c r="TDL75" s="52"/>
      <c r="TDM75" s="53"/>
      <c r="TDN75" s="54"/>
      <c r="TDO75" s="11"/>
      <c r="TDP75" s="14"/>
      <c r="TDQ75" s="113"/>
      <c r="TDR75" s="114"/>
      <c r="TDS75" s="115"/>
      <c r="TDT75" s="18"/>
      <c r="TDU75" s="52"/>
      <c r="TDV75" s="53"/>
      <c r="TDW75" s="54"/>
      <c r="TDX75" s="11"/>
      <c r="TDY75" s="14"/>
      <c r="TDZ75" s="113"/>
      <c r="TEA75" s="114"/>
      <c r="TEB75" s="115"/>
      <c r="TEC75" s="18"/>
      <c r="TED75" s="52"/>
      <c r="TEE75" s="53"/>
      <c r="TEF75" s="54"/>
      <c r="TEG75" s="11"/>
      <c r="TEH75" s="14"/>
      <c r="TEI75" s="113"/>
      <c r="TEJ75" s="114"/>
      <c r="TEK75" s="115"/>
      <c r="TEL75" s="18"/>
      <c r="TEM75" s="52"/>
      <c r="TEN75" s="53"/>
      <c r="TEO75" s="54"/>
      <c r="TEP75" s="11"/>
      <c r="TEQ75" s="14"/>
      <c r="TER75" s="113"/>
      <c r="TES75" s="114"/>
      <c r="TET75" s="115"/>
      <c r="TEU75" s="18"/>
      <c r="TEV75" s="52"/>
      <c r="TEW75" s="53"/>
      <c r="TEX75" s="54"/>
      <c r="TEY75" s="11"/>
      <c r="TEZ75" s="14"/>
      <c r="TFA75" s="113"/>
      <c r="TFB75" s="114"/>
      <c r="TFC75" s="115"/>
      <c r="TFD75" s="18"/>
      <c r="TFE75" s="52"/>
      <c r="TFF75" s="53"/>
      <c r="TFG75" s="54"/>
      <c r="TFH75" s="11"/>
      <c r="TFI75" s="14"/>
      <c r="TFJ75" s="113"/>
      <c r="TFK75" s="114"/>
      <c r="TFL75" s="115"/>
      <c r="TFM75" s="18"/>
      <c r="TFN75" s="52"/>
      <c r="TFO75" s="53"/>
      <c r="TFP75" s="54"/>
      <c r="TFQ75" s="11"/>
      <c r="TFR75" s="14"/>
      <c r="TFS75" s="113"/>
      <c r="TFT75" s="114"/>
      <c r="TFU75" s="115"/>
      <c r="TFV75" s="18"/>
      <c r="TFW75" s="52"/>
      <c r="TFX75" s="53"/>
      <c r="TFY75" s="54"/>
      <c r="TFZ75" s="11"/>
      <c r="TGA75" s="14"/>
      <c r="TGB75" s="113"/>
      <c r="TGC75" s="114"/>
      <c r="TGD75" s="115"/>
      <c r="TGE75" s="18"/>
      <c r="TGF75" s="52"/>
      <c r="TGG75" s="53"/>
      <c r="TGH75" s="54"/>
      <c r="TGI75" s="11"/>
      <c r="TGJ75" s="14"/>
      <c r="TGK75" s="113"/>
      <c r="TGL75" s="114"/>
      <c r="TGM75" s="115"/>
      <c r="TGN75" s="18"/>
      <c r="TGO75" s="52"/>
      <c r="TGP75" s="53"/>
      <c r="TGQ75" s="54"/>
      <c r="TGR75" s="11"/>
      <c r="TGS75" s="14"/>
      <c r="TGT75" s="113"/>
      <c r="TGU75" s="114"/>
      <c r="TGV75" s="115"/>
      <c r="TGW75" s="18"/>
      <c r="TGX75" s="52"/>
      <c r="TGY75" s="53"/>
      <c r="TGZ75" s="54"/>
      <c r="THA75" s="11"/>
      <c r="THB75" s="14"/>
      <c r="THC75" s="113"/>
      <c r="THD75" s="114"/>
      <c r="THE75" s="115"/>
      <c r="THF75" s="18"/>
      <c r="THG75" s="52"/>
      <c r="THH75" s="53"/>
      <c r="THI75" s="54"/>
      <c r="THJ75" s="11"/>
      <c r="THK75" s="14"/>
      <c r="THL75" s="113"/>
      <c r="THM75" s="114"/>
      <c r="THN75" s="115"/>
      <c r="THO75" s="18"/>
      <c r="THP75" s="52"/>
      <c r="THQ75" s="53"/>
      <c r="THR75" s="54"/>
      <c r="THS75" s="11"/>
      <c r="THT75" s="14"/>
      <c r="THU75" s="113"/>
      <c r="THV75" s="114"/>
      <c r="THW75" s="115"/>
      <c r="THX75" s="18"/>
      <c r="THY75" s="52"/>
      <c r="THZ75" s="53"/>
      <c r="TIA75" s="54"/>
      <c r="TIB75" s="11"/>
      <c r="TIC75" s="14"/>
      <c r="TID75" s="113"/>
      <c r="TIE75" s="114"/>
      <c r="TIF75" s="115"/>
      <c r="TIG75" s="18"/>
      <c r="TIH75" s="52"/>
      <c r="TII75" s="53"/>
      <c r="TIJ75" s="54"/>
      <c r="TIK75" s="11"/>
      <c r="TIL75" s="14"/>
      <c r="TIM75" s="113"/>
      <c r="TIN75" s="114"/>
      <c r="TIO75" s="115"/>
      <c r="TIP75" s="18"/>
      <c r="TIQ75" s="52"/>
      <c r="TIR75" s="53"/>
      <c r="TIS75" s="54"/>
      <c r="TIT75" s="11"/>
      <c r="TIU75" s="14"/>
      <c r="TIV75" s="113"/>
      <c r="TIW75" s="114"/>
      <c r="TIX75" s="115"/>
      <c r="TIY75" s="18"/>
      <c r="TIZ75" s="52"/>
      <c r="TJA75" s="53"/>
      <c r="TJB75" s="54"/>
      <c r="TJC75" s="11"/>
      <c r="TJD75" s="14"/>
      <c r="TJE75" s="113"/>
      <c r="TJF75" s="114"/>
      <c r="TJG75" s="115"/>
      <c r="TJH75" s="18"/>
      <c r="TJI75" s="52"/>
      <c r="TJJ75" s="53"/>
      <c r="TJK75" s="54"/>
      <c r="TJL75" s="11"/>
      <c r="TJM75" s="14"/>
      <c r="TJN75" s="113"/>
      <c r="TJO75" s="114"/>
      <c r="TJP75" s="115"/>
      <c r="TJQ75" s="18"/>
      <c r="TJR75" s="52"/>
      <c r="TJS75" s="53"/>
      <c r="TJT75" s="54"/>
      <c r="TJU75" s="11"/>
      <c r="TJV75" s="14"/>
      <c r="TJW75" s="113"/>
      <c r="TJX75" s="114"/>
      <c r="TJY75" s="115"/>
      <c r="TJZ75" s="18"/>
      <c r="TKA75" s="52"/>
      <c r="TKB75" s="53"/>
      <c r="TKC75" s="54"/>
      <c r="TKD75" s="11"/>
      <c r="TKE75" s="14"/>
      <c r="TKF75" s="113"/>
      <c r="TKG75" s="114"/>
      <c r="TKH75" s="115"/>
      <c r="TKI75" s="18"/>
      <c r="TKJ75" s="52"/>
      <c r="TKK75" s="53"/>
      <c r="TKL75" s="54"/>
      <c r="TKM75" s="11"/>
      <c r="TKN75" s="14"/>
      <c r="TKO75" s="113"/>
      <c r="TKP75" s="114"/>
      <c r="TKQ75" s="115"/>
      <c r="TKR75" s="18"/>
      <c r="TKS75" s="52"/>
      <c r="TKT75" s="53"/>
      <c r="TKU75" s="54"/>
      <c r="TKV75" s="11"/>
      <c r="TKW75" s="14"/>
      <c r="TKX75" s="113"/>
      <c r="TKY75" s="114"/>
      <c r="TKZ75" s="115"/>
      <c r="TLA75" s="18"/>
      <c r="TLB75" s="52"/>
      <c r="TLC75" s="53"/>
      <c r="TLD75" s="54"/>
      <c r="TLE75" s="11"/>
      <c r="TLF75" s="14"/>
      <c r="TLG75" s="113"/>
      <c r="TLH75" s="114"/>
      <c r="TLI75" s="115"/>
      <c r="TLJ75" s="18"/>
      <c r="TLK75" s="52"/>
      <c r="TLL75" s="53"/>
      <c r="TLM75" s="54"/>
      <c r="TLN75" s="11"/>
      <c r="TLO75" s="14"/>
      <c r="TLP75" s="113"/>
      <c r="TLQ75" s="114"/>
      <c r="TLR75" s="115"/>
      <c r="TLS75" s="18"/>
      <c r="TLT75" s="52"/>
      <c r="TLU75" s="53"/>
      <c r="TLV75" s="54"/>
      <c r="TLW75" s="11"/>
      <c r="TLX75" s="14"/>
      <c r="TLY75" s="113"/>
      <c r="TLZ75" s="114"/>
      <c r="TMA75" s="115"/>
      <c r="TMB75" s="18"/>
      <c r="TMC75" s="52"/>
      <c r="TMD75" s="53"/>
      <c r="TME75" s="54"/>
      <c r="TMF75" s="11"/>
      <c r="TMG75" s="14"/>
      <c r="TMH75" s="113"/>
      <c r="TMI75" s="114"/>
      <c r="TMJ75" s="115"/>
      <c r="TMK75" s="18"/>
      <c r="TML75" s="52"/>
      <c r="TMM75" s="53"/>
      <c r="TMN75" s="54"/>
      <c r="TMO75" s="11"/>
      <c r="TMP75" s="14"/>
      <c r="TMQ75" s="113"/>
      <c r="TMR75" s="114"/>
      <c r="TMS75" s="115"/>
      <c r="TMT75" s="18"/>
      <c r="TMU75" s="52"/>
      <c r="TMV75" s="53"/>
      <c r="TMW75" s="54"/>
      <c r="TMX75" s="11"/>
      <c r="TMY75" s="14"/>
      <c r="TMZ75" s="113"/>
      <c r="TNA75" s="114"/>
      <c r="TNB75" s="115"/>
      <c r="TNC75" s="18"/>
      <c r="TND75" s="52"/>
      <c r="TNE75" s="53"/>
      <c r="TNF75" s="54"/>
      <c r="TNG75" s="11"/>
      <c r="TNH75" s="14"/>
      <c r="TNI75" s="113"/>
      <c r="TNJ75" s="114"/>
      <c r="TNK75" s="115"/>
      <c r="TNL75" s="18"/>
      <c r="TNM75" s="52"/>
      <c r="TNN75" s="53"/>
      <c r="TNO75" s="54"/>
      <c r="TNP75" s="11"/>
      <c r="TNQ75" s="14"/>
      <c r="TNR75" s="113"/>
      <c r="TNS75" s="114"/>
      <c r="TNT75" s="115"/>
      <c r="TNU75" s="18"/>
      <c r="TNV75" s="52"/>
      <c r="TNW75" s="53"/>
      <c r="TNX75" s="54"/>
      <c r="TNY75" s="11"/>
      <c r="TNZ75" s="14"/>
      <c r="TOA75" s="113"/>
      <c r="TOB75" s="114"/>
      <c r="TOC75" s="115"/>
      <c r="TOD75" s="18"/>
      <c r="TOE75" s="52"/>
      <c r="TOF75" s="53"/>
      <c r="TOG75" s="54"/>
      <c r="TOH75" s="11"/>
      <c r="TOI75" s="14"/>
      <c r="TOJ75" s="113"/>
      <c r="TOK75" s="114"/>
      <c r="TOL75" s="115"/>
      <c r="TOM75" s="18"/>
      <c r="TON75" s="52"/>
      <c r="TOO75" s="53"/>
      <c r="TOP75" s="54"/>
      <c r="TOQ75" s="11"/>
      <c r="TOR75" s="14"/>
      <c r="TOS75" s="113"/>
      <c r="TOT75" s="114"/>
      <c r="TOU75" s="115"/>
      <c r="TOV75" s="18"/>
      <c r="TOW75" s="52"/>
      <c r="TOX75" s="53"/>
      <c r="TOY75" s="54"/>
      <c r="TOZ75" s="11"/>
      <c r="TPA75" s="14"/>
      <c r="TPB75" s="113"/>
      <c r="TPC75" s="114"/>
      <c r="TPD75" s="115"/>
      <c r="TPE75" s="18"/>
      <c r="TPF75" s="52"/>
      <c r="TPG75" s="53"/>
      <c r="TPH75" s="54"/>
      <c r="TPI75" s="11"/>
      <c r="TPJ75" s="14"/>
      <c r="TPK75" s="113"/>
      <c r="TPL75" s="114"/>
      <c r="TPM75" s="115"/>
      <c r="TPN75" s="18"/>
      <c r="TPO75" s="52"/>
      <c r="TPP75" s="53"/>
      <c r="TPQ75" s="54"/>
      <c r="TPR75" s="11"/>
      <c r="TPS75" s="14"/>
      <c r="TPT75" s="113"/>
      <c r="TPU75" s="114"/>
      <c r="TPV75" s="115"/>
      <c r="TPW75" s="18"/>
      <c r="TPX75" s="52"/>
      <c r="TPY75" s="53"/>
      <c r="TPZ75" s="54"/>
      <c r="TQA75" s="11"/>
      <c r="TQB75" s="14"/>
      <c r="TQC75" s="113"/>
      <c r="TQD75" s="114"/>
      <c r="TQE75" s="115"/>
      <c r="TQF75" s="18"/>
      <c r="TQG75" s="52"/>
      <c r="TQH75" s="53"/>
      <c r="TQI75" s="54"/>
      <c r="TQJ75" s="11"/>
      <c r="TQK75" s="14"/>
      <c r="TQL75" s="113"/>
      <c r="TQM75" s="114"/>
      <c r="TQN75" s="115"/>
      <c r="TQO75" s="18"/>
      <c r="TQP75" s="52"/>
      <c r="TQQ75" s="53"/>
      <c r="TQR75" s="54"/>
      <c r="TQS75" s="11"/>
      <c r="TQT75" s="14"/>
      <c r="TQU75" s="113"/>
      <c r="TQV75" s="114"/>
      <c r="TQW75" s="115"/>
      <c r="TQX75" s="18"/>
      <c r="TQY75" s="52"/>
      <c r="TQZ75" s="53"/>
      <c r="TRA75" s="54"/>
      <c r="TRB75" s="11"/>
      <c r="TRC75" s="14"/>
      <c r="TRD75" s="113"/>
      <c r="TRE75" s="114"/>
      <c r="TRF75" s="115"/>
      <c r="TRG75" s="18"/>
      <c r="TRH75" s="52"/>
      <c r="TRI75" s="53"/>
      <c r="TRJ75" s="54"/>
      <c r="TRK75" s="11"/>
      <c r="TRL75" s="14"/>
      <c r="TRM75" s="113"/>
      <c r="TRN75" s="114"/>
      <c r="TRO75" s="115"/>
      <c r="TRP75" s="18"/>
      <c r="TRQ75" s="52"/>
      <c r="TRR75" s="53"/>
      <c r="TRS75" s="54"/>
      <c r="TRT75" s="11"/>
      <c r="TRU75" s="14"/>
      <c r="TRV75" s="113"/>
      <c r="TRW75" s="114"/>
      <c r="TRX75" s="115"/>
      <c r="TRY75" s="18"/>
      <c r="TRZ75" s="52"/>
      <c r="TSA75" s="53"/>
      <c r="TSB75" s="54"/>
      <c r="TSC75" s="11"/>
      <c r="TSD75" s="14"/>
      <c r="TSE75" s="113"/>
      <c r="TSF75" s="114"/>
      <c r="TSG75" s="115"/>
      <c r="TSH75" s="18"/>
      <c r="TSI75" s="52"/>
      <c r="TSJ75" s="53"/>
      <c r="TSK75" s="54"/>
      <c r="TSL75" s="11"/>
      <c r="TSM75" s="14"/>
      <c r="TSN75" s="113"/>
      <c r="TSO75" s="114"/>
      <c r="TSP75" s="115"/>
      <c r="TSQ75" s="18"/>
      <c r="TSR75" s="52"/>
      <c r="TSS75" s="53"/>
      <c r="TST75" s="54"/>
      <c r="TSU75" s="11"/>
      <c r="TSV75" s="14"/>
      <c r="TSW75" s="113"/>
      <c r="TSX75" s="114"/>
      <c r="TSY75" s="115"/>
      <c r="TSZ75" s="18"/>
      <c r="TTA75" s="52"/>
      <c r="TTB75" s="53"/>
      <c r="TTC75" s="54"/>
      <c r="TTD75" s="11"/>
      <c r="TTE75" s="14"/>
      <c r="TTF75" s="113"/>
      <c r="TTG75" s="114"/>
      <c r="TTH75" s="115"/>
      <c r="TTI75" s="18"/>
      <c r="TTJ75" s="52"/>
      <c r="TTK75" s="53"/>
      <c r="TTL75" s="54"/>
      <c r="TTM75" s="11"/>
      <c r="TTN75" s="14"/>
      <c r="TTO75" s="113"/>
      <c r="TTP75" s="114"/>
      <c r="TTQ75" s="115"/>
      <c r="TTR75" s="18"/>
      <c r="TTS75" s="52"/>
      <c r="TTT75" s="53"/>
      <c r="TTU75" s="54"/>
      <c r="TTV75" s="11"/>
      <c r="TTW75" s="14"/>
      <c r="TTX75" s="113"/>
      <c r="TTY75" s="114"/>
      <c r="TTZ75" s="115"/>
      <c r="TUA75" s="18"/>
      <c r="TUB75" s="52"/>
      <c r="TUC75" s="53"/>
      <c r="TUD75" s="54"/>
      <c r="TUE75" s="11"/>
      <c r="TUF75" s="14"/>
      <c r="TUG75" s="113"/>
      <c r="TUH75" s="114"/>
      <c r="TUI75" s="115"/>
      <c r="TUJ75" s="18"/>
      <c r="TUK75" s="52"/>
      <c r="TUL75" s="53"/>
      <c r="TUM75" s="54"/>
      <c r="TUN75" s="11"/>
      <c r="TUO75" s="14"/>
      <c r="TUP75" s="113"/>
      <c r="TUQ75" s="114"/>
      <c r="TUR75" s="115"/>
      <c r="TUS75" s="18"/>
      <c r="TUT75" s="52"/>
      <c r="TUU75" s="53"/>
      <c r="TUV75" s="54"/>
      <c r="TUW75" s="11"/>
      <c r="TUX75" s="14"/>
      <c r="TUY75" s="113"/>
      <c r="TUZ75" s="114"/>
      <c r="TVA75" s="115"/>
      <c r="TVB75" s="18"/>
      <c r="TVC75" s="52"/>
      <c r="TVD75" s="53"/>
      <c r="TVE75" s="54"/>
      <c r="TVF75" s="11"/>
      <c r="TVG75" s="14"/>
      <c r="TVH75" s="113"/>
      <c r="TVI75" s="114"/>
      <c r="TVJ75" s="115"/>
      <c r="TVK75" s="18"/>
      <c r="TVL75" s="52"/>
      <c r="TVM75" s="53"/>
      <c r="TVN75" s="54"/>
      <c r="TVO75" s="11"/>
      <c r="TVP75" s="14"/>
      <c r="TVQ75" s="113"/>
      <c r="TVR75" s="114"/>
      <c r="TVS75" s="115"/>
      <c r="TVT75" s="18"/>
      <c r="TVU75" s="52"/>
      <c r="TVV75" s="53"/>
      <c r="TVW75" s="54"/>
      <c r="TVX75" s="11"/>
      <c r="TVY75" s="14"/>
      <c r="TVZ75" s="113"/>
      <c r="TWA75" s="114"/>
      <c r="TWB75" s="115"/>
      <c r="TWC75" s="18"/>
      <c r="TWD75" s="52"/>
      <c r="TWE75" s="53"/>
      <c r="TWF75" s="54"/>
      <c r="TWG75" s="11"/>
      <c r="TWH75" s="14"/>
      <c r="TWI75" s="113"/>
      <c r="TWJ75" s="114"/>
      <c r="TWK75" s="115"/>
      <c r="TWL75" s="18"/>
      <c r="TWM75" s="52"/>
      <c r="TWN75" s="53"/>
      <c r="TWO75" s="54"/>
      <c r="TWP75" s="11"/>
      <c r="TWQ75" s="14"/>
      <c r="TWR75" s="113"/>
      <c r="TWS75" s="114"/>
      <c r="TWT75" s="115"/>
      <c r="TWU75" s="18"/>
      <c r="TWV75" s="52"/>
      <c r="TWW75" s="53"/>
      <c r="TWX75" s="54"/>
      <c r="TWY75" s="11"/>
      <c r="TWZ75" s="14"/>
      <c r="TXA75" s="113"/>
      <c r="TXB75" s="114"/>
      <c r="TXC75" s="115"/>
      <c r="TXD75" s="18"/>
      <c r="TXE75" s="52"/>
      <c r="TXF75" s="53"/>
      <c r="TXG75" s="54"/>
      <c r="TXH75" s="11"/>
      <c r="TXI75" s="14"/>
      <c r="TXJ75" s="113"/>
      <c r="TXK75" s="114"/>
      <c r="TXL75" s="115"/>
      <c r="TXM75" s="18"/>
      <c r="TXN75" s="52"/>
      <c r="TXO75" s="53"/>
      <c r="TXP75" s="54"/>
      <c r="TXQ75" s="11"/>
      <c r="TXR75" s="14"/>
      <c r="TXS75" s="113"/>
      <c r="TXT75" s="114"/>
      <c r="TXU75" s="115"/>
      <c r="TXV75" s="18"/>
      <c r="TXW75" s="52"/>
      <c r="TXX75" s="53"/>
      <c r="TXY75" s="54"/>
      <c r="TXZ75" s="11"/>
      <c r="TYA75" s="14"/>
      <c r="TYB75" s="113"/>
      <c r="TYC75" s="114"/>
      <c r="TYD75" s="115"/>
      <c r="TYE75" s="18"/>
      <c r="TYF75" s="52"/>
      <c r="TYG75" s="53"/>
      <c r="TYH75" s="54"/>
      <c r="TYI75" s="11"/>
      <c r="TYJ75" s="14"/>
      <c r="TYK75" s="113"/>
      <c r="TYL75" s="114"/>
      <c r="TYM75" s="115"/>
      <c r="TYN75" s="18"/>
      <c r="TYO75" s="52"/>
      <c r="TYP75" s="53"/>
      <c r="TYQ75" s="54"/>
      <c r="TYR75" s="11"/>
      <c r="TYS75" s="14"/>
      <c r="TYT75" s="113"/>
      <c r="TYU75" s="114"/>
      <c r="TYV75" s="115"/>
      <c r="TYW75" s="18"/>
      <c r="TYX75" s="52"/>
      <c r="TYY75" s="53"/>
      <c r="TYZ75" s="54"/>
      <c r="TZA75" s="11"/>
      <c r="TZB75" s="14"/>
      <c r="TZC75" s="113"/>
      <c r="TZD75" s="114"/>
      <c r="TZE75" s="115"/>
      <c r="TZF75" s="18"/>
      <c r="TZG75" s="52"/>
      <c r="TZH75" s="53"/>
      <c r="TZI75" s="54"/>
      <c r="TZJ75" s="11"/>
      <c r="TZK75" s="14"/>
      <c r="TZL75" s="113"/>
      <c r="TZM75" s="114"/>
      <c r="TZN75" s="115"/>
      <c r="TZO75" s="18"/>
      <c r="TZP75" s="52"/>
      <c r="TZQ75" s="53"/>
      <c r="TZR75" s="54"/>
      <c r="TZS75" s="11"/>
      <c r="TZT75" s="14"/>
      <c r="TZU75" s="113"/>
      <c r="TZV75" s="114"/>
      <c r="TZW75" s="115"/>
      <c r="TZX75" s="18"/>
      <c r="TZY75" s="52"/>
      <c r="TZZ75" s="53"/>
      <c r="UAA75" s="54"/>
      <c r="UAB75" s="11"/>
      <c r="UAC75" s="14"/>
      <c r="UAD75" s="113"/>
      <c r="UAE75" s="114"/>
      <c r="UAF75" s="115"/>
      <c r="UAG75" s="18"/>
      <c r="UAH75" s="52"/>
      <c r="UAI75" s="53"/>
      <c r="UAJ75" s="54"/>
      <c r="UAK75" s="11"/>
      <c r="UAL75" s="14"/>
      <c r="UAM75" s="113"/>
      <c r="UAN75" s="114"/>
      <c r="UAO75" s="115"/>
      <c r="UAP75" s="18"/>
      <c r="UAQ75" s="52"/>
      <c r="UAR75" s="53"/>
      <c r="UAS75" s="54"/>
      <c r="UAT75" s="11"/>
      <c r="UAU75" s="14"/>
      <c r="UAV75" s="113"/>
      <c r="UAW75" s="114"/>
      <c r="UAX75" s="115"/>
      <c r="UAY75" s="18"/>
      <c r="UAZ75" s="52"/>
      <c r="UBA75" s="53"/>
      <c r="UBB75" s="54"/>
      <c r="UBC75" s="11"/>
      <c r="UBD75" s="14"/>
      <c r="UBE75" s="113"/>
      <c r="UBF75" s="114"/>
      <c r="UBG75" s="115"/>
      <c r="UBH75" s="18"/>
      <c r="UBI75" s="52"/>
      <c r="UBJ75" s="53"/>
      <c r="UBK75" s="54"/>
      <c r="UBL75" s="11"/>
      <c r="UBM75" s="14"/>
      <c r="UBN75" s="113"/>
      <c r="UBO75" s="114"/>
      <c r="UBP75" s="115"/>
      <c r="UBQ75" s="18"/>
      <c r="UBR75" s="52"/>
      <c r="UBS75" s="53"/>
      <c r="UBT75" s="54"/>
      <c r="UBU75" s="11"/>
      <c r="UBV75" s="14"/>
      <c r="UBW75" s="113"/>
      <c r="UBX75" s="114"/>
      <c r="UBY75" s="115"/>
      <c r="UBZ75" s="18"/>
      <c r="UCA75" s="52"/>
      <c r="UCB75" s="53"/>
      <c r="UCC75" s="54"/>
      <c r="UCD75" s="11"/>
      <c r="UCE75" s="14"/>
      <c r="UCF75" s="113"/>
      <c r="UCG75" s="114"/>
      <c r="UCH75" s="115"/>
      <c r="UCI75" s="18"/>
      <c r="UCJ75" s="52"/>
      <c r="UCK75" s="53"/>
      <c r="UCL75" s="54"/>
      <c r="UCM75" s="11"/>
      <c r="UCN75" s="14"/>
      <c r="UCO75" s="113"/>
      <c r="UCP75" s="114"/>
      <c r="UCQ75" s="115"/>
      <c r="UCR75" s="18"/>
      <c r="UCS75" s="52"/>
      <c r="UCT75" s="53"/>
      <c r="UCU75" s="54"/>
      <c r="UCV75" s="11"/>
      <c r="UCW75" s="14"/>
      <c r="UCX75" s="113"/>
      <c r="UCY75" s="114"/>
      <c r="UCZ75" s="115"/>
      <c r="UDA75" s="18"/>
      <c r="UDB75" s="52"/>
      <c r="UDC75" s="53"/>
      <c r="UDD75" s="54"/>
      <c r="UDE75" s="11"/>
      <c r="UDF75" s="14"/>
      <c r="UDG75" s="113"/>
      <c r="UDH75" s="114"/>
      <c r="UDI75" s="115"/>
      <c r="UDJ75" s="18"/>
      <c r="UDK75" s="52"/>
      <c r="UDL75" s="53"/>
      <c r="UDM75" s="54"/>
      <c r="UDN75" s="11"/>
      <c r="UDO75" s="14"/>
      <c r="UDP75" s="113"/>
      <c r="UDQ75" s="114"/>
      <c r="UDR75" s="115"/>
      <c r="UDS75" s="18"/>
      <c r="UDT75" s="52"/>
      <c r="UDU75" s="53"/>
      <c r="UDV75" s="54"/>
      <c r="UDW75" s="11"/>
      <c r="UDX75" s="14"/>
      <c r="UDY75" s="113"/>
      <c r="UDZ75" s="114"/>
      <c r="UEA75" s="115"/>
      <c r="UEB75" s="18"/>
      <c r="UEC75" s="52"/>
      <c r="UED75" s="53"/>
      <c r="UEE75" s="54"/>
      <c r="UEF75" s="11"/>
      <c r="UEG75" s="14"/>
      <c r="UEH75" s="113"/>
      <c r="UEI75" s="114"/>
      <c r="UEJ75" s="115"/>
      <c r="UEK75" s="18"/>
      <c r="UEL75" s="52"/>
      <c r="UEM75" s="53"/>
      <c r="UEN75" s="54"/>
      <c r="UEO75" s="11"/>
      <c r="UEP75" s="14"/>
      <c r="UEQ75" s="113"/>
      <c r="UER75" s="114"/>
      <c r="UES75" s="115"/>
      <c r="UET75" s="18"/>
      <c r="UEU75" s="52"/>
      <c r="UEV75" s="53"/>
      <c r="UEW75" s="54"/>
      <c r="UEX75" s="11"/>
      <c r="UEY75" s="14"/>
      <c r="UEZ75" s="113"/>
      <c r="UFA75" s="114"/>
      <c r="UFB75" s="115"/>
      <c r="UFC75" s="18"/>
      <c r="UFD75" s="52"/>
      <c r="UFE75" s="53"/>
      <c r="UFF75" s="54"/>
      <c r="UFG75" s="11"/>
      <c r="UFH75" s="14"/>
      <c r="UFI75" s="113"/>
      <c r="UFJ75" s="114"/>
      <c r="UFK75" s="115"/>
      <c r="UFL75" s="18"/>
      <c r="UFM75" s="52"/>
      <c r="UFN75" s="53"/>
      <c r="UFO75" s="54"/>
      <c r="UFP75" s="11"/>
      <c r="UFQ75" s="14"/>
      <c r="UFR75" s="113"/>
      <c r="UFS75" s="114"/>
      <c r="UFT75" s="115"/>
      <c r="UFU75" s="18"/>
      <c r="UFV75" s="52"/>
      <c r="UFW75" s="53"/>
      <c r="UFX75" s="54"/>
      <c r="UFY75" s="11"/>
      <c r="UFZ75" s="14"/>
      <c r="UGA75" s="113"/>
      <c r="UGB75" s="114"/>
      <c r="UGC75" s="115"/>
      <c r="UGD75" s="18"/>
      <c r="UGE75" s="52"/>
      <c r="UGF75" s="53"/>
      <c r="UGG75" s="54"/>
      <c r="UGH75" s="11"/>
      <c r="UGI75" s="14"/>
      <c r="UGJ75" s="113"/>
      <c r="UGK75" s="114"/>
      <c r="UGL75" s="115"/>
      <c r="UGM75" s="18"/>
      <c r="UGN75" s="52"/>
      <c r="UGO75" s="53"/>
      <c r="UGP75" s="54"/>
      <c r="UGQ75" s="11"/>
      <c r="UGR75" s="14"/>
      <c r="UGS75" s="113"/>
      <c r="UGT75" s="114"/>
      <c r="UGU75" s="115"/>
      <c r="UGV75" s="18"/>
      <c r="UGW75" s="52"/>
      <c r="UGX75" s="53"/>
      <c r="UGY75" s="54"/>
      <c r="UGZ75" s="11"/>
      <c r="UHA75" s="14"/>
      <c r="UHB75" s="113"/>
      <c r="UHC75" s="114"/>
      <c r="UHD75" s="115"/>
      <c r="UHE75" s="18"/>
      <c r="UHF75" s="52"/>
      <c r="UHG75" s="53"/>
      <c r="UHH75" s="54"/>
      <c r="UHI75" s="11"/>
      <c r="UHJ75" s="14"/>
      <c r="UHK75" s="113"/>
      <c r="UHL75" s="114"/>
      <c r="UHM75" s="115"/>
      <c r="UHN75" s="18"/>
      <c r="UHO75" s="52"/>
      <c r="UHP75" s="53"/>
      <c r="UHQ75" s="54"/>
      <c r="UHR75" s="11"/>
      <c r="UHS75" s="14"/>
      <c r="UHT75" s="113"/>
      <c r="UHU75" s="114"/>
      <c r="UHV75" s="115"/>
      <c r="UHW75" s="18"/>
      <c r="UHX75" s="52"/>
      <c r="UHY75" s="53"/>
      <c r="UHZ75" s="54"/>
      <c r="UIA75" s="11"/>
      <c r="UIB75" s="14"/>
      <c r="UIC75" s="113"/>
      <c r="UID75" s="114"/>
      <c r="UIE75" s="115"/>
      <c r="UIF75" s="18"/>
      <c r="UIG75" s="52"/>
      <c r="UIH75" s="53"/>
      <c r="UII75" s="54"/>
      <c r="UIJ75" s="11"/>
      <c r="UIK75" s="14"/>
      <c r="UIL75" s="113"/>
      <c r="UIM75" s="114"/>
      <c r="UIN75" s="115"/>
      <c r="UIO75" s="18"/>
      <c r="UIP75" s="52"/>
      <c r="UIQ75" s="53"/>
      <c r="UIR75" s="54"/>
      <c r="UIS75" s="11"/>
      <c r="UIT75" s="14"/>
      <c r="UIU75" s="113"/>
      <c r="UIV75" s="114"/>
      <c r="UIW75" s="115"/>
      <c r="UIX75" s="18"/>
      <c r="UIY75" s="52"/>
      <c r="UIZ75" s="53"/>
      <c r="UJA75" s="54"/>
      <c r="UJB75" s="11"/>
      <c r="UJC75" s="14"/>
      <c r="UJD75" s="113"/>
      <c r="UJE75" s="114"/>
      <c r="UJF75" s="115"/>
      <c r="UJG75" s="18"/>
      <c r="UJH75" s="52"/>
      <c r="UJI75" s="53"/>
      <c r="UJJ75" s="54"/>
      <c r="UJK75" s="11"/>
      <c r="UJL75" s="14"/>
      <c r="UJM75" s="113"/>
      <c r="UJN75" s="114"/>
      <c r="UJO75" s="115"/>
      <c r="UJP75" s="18"/>
      <c r="UJQ75" s="52"/>
      <c r="UJR75" s="53"/>
      <c r="UJS75" s="54"/>
      <c r="UJT75" s="11"/>
      <c r="UJU75" s="14"/>
      <c r="UJV75" s="113"/>
      <c r="UJW75" s="114"/>
      <c r="UJX75" s="115"/>
      <c r="UJY75" s="18"/>
      <c r="UJZ75" s="52"/>
      <c r="UKA75" s="53"/>
      <c r="UKB75" s="54"/>
      <c r="UKC75" s="11"/>
      <c r="UKD75" s="14"/>
      <c r="UKE75" s="113"/>
      <c r="UKF75" s="114"/>
      <c r="UKG75" s="115"/>
      <c r="UKH75" s="18"/>
      <c r="UKI75" s="52"/>
      <c r="UKJ75" s="53"/>
      <c r="UKK75" s="54"/>
      <c r="UKL75" s="11"/>
      <c r="UKM75" s="14"/>
      <c r="UKN75" s="113"/>
      <c r="UKO75" s="114"/>
      <c r="UKP75" s="115"/>
      <c r="UKQ75" s="18"/>
      <c r="UKR75" s="52"/>
      <c r="UKS75" s="53"/>
      <c r="UKT75" s="54"/>
      <c r="UKU75" s="11"/>
      <c r="UKV75" s="14"/>
      <c r="UKW75" s="113"/>
      <c r="UKX75" s="114"/>
      <c r="UKY75" s="115"/>
      <c r="UKZ75" s="18"/>
      <c r="ULA75" s="52"/>
      <c r="ULB75" s="53"/>
      <c r="ULC75" s="54"/>
      <c r="ULD75" s="11"/>
      <c r="ULE75" s="14"/>
      <c r="ULF75" s="113"/>
      <c r="ULG75" s="114"/>
      <c r="ULH75" s="115"/>
      <c r="ULI75" s="18"/>
      <c r="ULJ75" s="52"/>
      <c r="ULK75" s="53"/>
      <c r="ULL75" s="54"/>
      <c r="ULM75" s="11"/>
      <c r="ULN75" s="14"/>
      <c r="ULO75" s="113"/>
      <c r="ULP75" s="114"/>
      <c r="ULQ75" s="115"/>
      <c r="ULR75" s="18"/>
      <c r="ULS75" s="52"/>
      <c r="ULT75" s="53"/>
      <c r="ULU75" s="54"/>
      <c r="ULV75" s="11"/>
      <c r="ULW75" s="14"/>
      <c r="ULX75" s="113"/>
      <c r="ULY75" s="114"/>
      <c r="ULZ75" s="115"/>
      <c r="UMA75" s="18"/>
      <c r="UMB75" s="52"/>
      <c r="UMC75" s="53"/>
      <c r="UMD75" s="54"/>
      <c r="UME75" s="11"/>
      <c r="UMF75" s="14"/>
      <c r="UMG75" s="113"/>
      <c r="UMH75" s="114"/>
      <c r="UMI75" s="115"/>
      <c r="UMJ75" s="18"/>
      <c r="UMK75" s="52"/>
      <c r="UML75" s="53"/>
      <c r="UMM75" s="54"/>
      <c r="UMN75" s="11"/>
      <c r="UMO75" s="14"/>
      <c r="UMP75" s="113"/>
      <c r="UMQ75" s="114"/>
      <c r="UMR75" s="115"/>
      <c r="UMS75" s="18"/>
      <c r="UMT75" s="52"/>
      <c r="UMU75" s="53"/>
      <c r="UMV75" s="54"/>
      <c r="UMW75" s="11"/>
      <c r="UMX75" s="14"/>
      <c r="UMY75" s="113"/>
      <c r="UMZ75" s="114"/>
      <c r="UNA75" s="115"/>
      <c r="UNB75" s="18"/>
      <c r="UNC75" s="52"/>
      <c r="UND75" s="53"/>
      <c r="UNE75" s="54"/>
      <c r="UNF75" s="11"/>
      <c r="UNG75" s="14"/>
      <c r="UNH75" s="113"/>
      <c r="UNI75" s="114"/>
      <c r="UNJ75" s="115"/>
      <c r="UNK75" s="18"/>
      <c r="UNL75" s="52"/>
      <c r="UNM75" s="53"/>
      <c r="UNN75" s="54"/>
      <c r="UNO75" s="11"/>
      <c r="UNP75" s="14"/>
      <c r="UNQ75" s="113"/>
      <c r="UNR75" s="114"/>
      <c r="UNS75" s="115"/>
      <c r="UNT75" s="18"/>
      <c r="UNU75" s="52"/>
      <c r="UNV75" s="53"/>
      <c r="UNW75" s="54"/>
      <c r="UNX75" s="11"/>
      <c r="UNY75" s="14"/>
      <c r="UNZ75" s="113"/>
      <c r="UOA75" s="114"/>
      <c r="UOB75" s="115"/>
      <c r="UOC75" s="18"/>
      <c r="UOD75" s="52"/>
      <c r="UOE75" s="53"/>
      <c r="UOF75" s="54"/>
      <c r="UOG75" s="11"/>
      <c r="UOH75" s="14"/>
      <c r="UOI75" s="113"/>
      <c r="UOJ75" s="114"/>
      <c r="UOK75" s="115"/>
      <c r="UOL75" s="18"/>
      <c r="UOM75" s="52"/>
      <c r="UON75" s="53"/>
      <c r="UOO75" s="54"/>
      <c r="UOP75" s="11"/>
      <c r="UOQ75" s="14"/>
      <c r="UOR75" s="113"/>
      <c r="UOS75" s="114"/>
      <c r="UOT75" s="115"/>
      <c r="UOU75" s="18"/>
      <c r="UOV75" s="52"/>
      <c r="UOW75" s="53"/>
      <c r="UOX75" s="54"/>
      <c r="UOY75" s="11"/>
      <c r="UOZ75" s="14"/>
      <c r="UPA75" s="113"/>
      <c r="UPB75" s="114"/>
      <c r="UPC75" s="115"/>
      <c r="UPD75" s="18"/>
      <c r="UPE75" s="52"/>
      <c r="UPF75" s="53"/>
      <c r="UPG75" s="54"/>
      <c r="UPH75" s="11"/>
      <c r="UPI75" s="14"/>
      <c r="UPJ75" s="113"/>
      <c r="UPK75" s="114"/>
      <c r="UPL75" s="115"/>
      <c r="UPM75" s="18"/>
      <c r="UPN75" s="52"/>
      <c r="UPO75" s="53"/>
      <c r="UPP75" s="54"/>
      <c r="UPQ75" s="11"/>
      <c r="UPR75" s="14"/>
      <c r="UPS75" s="113"/>
      <c r="UPT75" s="114"/>
      <c r="UPU75" s="115"/>
      <c r="UPV75" s="18"/>
      <c r="UPW75" s="52"/>
      <c r="UPX75" s="53"/>
      <c r="UPY75" s="54"/>
      <c r="UPZ75" s="11"/>
      <c r="UQA75" s="14"/>
      <c r="UQB75" s="113"/>
      <c r="UQC75" s="114"/>
      <c r="UQD75" s="115"/>
      <c r="UQE75" s="18"/>
      <c r="UQF75" s="52"/>
      <c r="UQG75" s="53"/>
      <c r="UQH75" s="54"/>
      <c r="UQI75" s="11"/>
      <c r="UQJ75" s="14"/>
      <c r="UQK75" s="113"/>
      <c r="UQL75" s="114"/>
      <c r="UQM75" s="115"/>
      <c r="UQN75" s="18"/>
      <c r="UQO75" s="52"/>
      <c r="UQP75" s="53"/>
      <c r="UQQ75" s="54"/>
      <c r="UQR75" s="11"/>
      <c r="UQS75" s="14"/>
      <c r="UQT75" s="113"/>
      <c r="UQU75" s="114"/>
      <c r="UQV75" s="115"/>
      <c r="UQW75" s="18"/>
      <c r="UQX75" s="52"/>
      <c r="UQY75" s="53"/>
      <c r="UQZ75" s="54"/>
      <c r="URA75" s="11"/>
      <c r="URB75" s="14"/>
      <c r="URC75" s="113"/>
      <c r="URD75" s="114"/>
      <c r="URE75" s="115"/>
      <c r="URF75" s="18"/>
      <c r="URG75" s="52"/>
      <c r="URH75" s="53"/>
      <c r="URI75" s="54"/>
      <c r="URJ75" s="11"/>
      <c r="URK75" s="14"/>
      <c r="URL75" s="113"/>
      <c r="URM75" s="114"/>
      <c r="URN75" s="115"/>
      <c r="URO75" s="18"/>
      <c r="URP75" s="52"/>
      <c r="URQ75" s="53"/>
      <c r="URR75" s="54"/>
      <c r="URS75" s="11"/>
      <c r="URT75" s="14"/>
      <c r="URU75" s="113"/>
      <c r="URV75" s="114"/>
      <c r="URW75" s="115"/>
      <c r="URX75" s="18"/>
      <c r="URY75" s="52"/>
      <c r="URZ75" s="53"/>
      <c r="USA75" s="54"/>
      <c r="USB75" s="11"/>
      <c r="USC75" s="14"/>
      <c r="USD75" s="113"/>
      <c r="USE75" s="114"/>
      <c r="USF75" s="115"/>
      <c r="USG75" s="18"/>
      <c r="USH75" s="52"/>
      <c r="USI75" s="53"/>
      <c r="USJ75" s="54"/>
      <c r="USK75" s="11"/>
      <c r="USL75" s="14"/>
      <c r="USM75" s="113"/>
      <c r="USN75" s="114"/>
      <c r="USO75" s="115"/>
      <c r="USP75" s="18"/>
      <c r="USQ75" s="52"/>
      <c r="USR75" s="53"/>
      <c r="USS75" s="54"/>
      <c r="UST75" s="11"/>
      <c r="USU75" s="14"/>
      <c r="USV75" s="113"/>
      <c r="USW75" s="114"/>
      <c r="USX75" s="115"/>
      <c r="USY75" s="18"/>
      <c r="USZ75" s="52"/>
      <c r="UTA75" s="53"/>
      <c r="UTB75" s="54"/>
      <c r="UTC75" s="11"/>
      <c r="UTD75" s="14"/>
      <c r="UTE75" s="113"/>
      <c r="UTF75" s="114"/>
      <c r="UTG75" s="115"/>
      <c r="UTH75" s="18"/>
      <c r="UTI75" s="52"/>
      <c r="UTJ75" s="53"/>
      <c r="UTK75" s="54"/>
      <c r="UTL75" s="11"/>
      <c r="UTM75" s="14"/>
      <c r="UTN75" s="113"/>
      <c r="UTO75" s="114"/>
      <c r="UTP75" s="115"/>
      <c r="UTQ75" s="18"/>
      <c r="UTR75" s="52"/>
      <c r="UTS75" s="53"/>
      <c r="UTT75" s="54"/>
      <c r="UTU75" s="11"/>
      <c r="UTV75" s="14"/>
      <c r="UTW75" s="113"/>
      <c r="UTX75" s="114"/>
      <c r="UTY75" s="115"/>
      <c r="UTZ75" s="18"/>
      <c r="UUA75" s="52"/>
      <c r="UUB75" s="53"/>
      <c r="UUC75" s="54"/>
      <c r="UUD75" s="11"/>
      <c r="UUE75" s="14"/>
      <c r="UUF75" s="113"/>
      <c r="UUG75" s="114"/>
      <c r="UUH75" s="115"/>
      <c r="UUI75" s="18"/>
      <c r="UUJ75" s="52"/>
      <c r="UUK75" s="53"/>
      <c r="UUL75" s="54"/>
      <c r="UUM75" s="11"/>
      <c r="UUN75" s="14"/>
      <c r="UUO75" s="113"/>
      <c r="UUP75" s="114"/>
      <c r="UUQ75" s="115"/>
      <c r="UUR75" s="18"/>
      <c r="UUS75" s="52"/>
      <c r="UUT75" s="53"/>
      <c r="UUU75" s="54"/>
      <c r="UUV75" s="11"/>
      <c r="UUW75" s="14"/>
      <c r="UUX75" s="113"/>
      <c r="UUY75" s="114"/>
      <c r="UUZ75" s="115"/>
      <c r="UVA75" s="18"/>
      <c r="UVB75" s="52"/>
      <c r="UVC75" s="53"/>
      <c r="UVD75" s="54"/>
      <c r="UVE75" s="11"/>
      <c r="UVF75" s="14"/>
      <c r="UVG75" s="113"/>
      <c r="UVH75" s="114"/>
      <c r="UVI75" s="115"/>
      <c r="UVJ75" s="18"/>
      <c r="UVK75" s="52"/>
      <c r="UVL75" s="53"/>
      <c r="UVM75" s="54"/>
      <c r="UVN75" s="11"/>
      <c r="UVO75" s="14"/>
      <c r="UVP75" s="113"/>
      <c r="UVQ75" s="114"/>
      <c r="UVR75" s="115"/>
      <c r="UVS75" s="18"/>
      <c r="UVT75" s="52"/>
      <c r="UVU75" s="53"/>
      <c r="UVV75" s="54"/>
      <c r="UVW75" s="11"/>
      <c r="UVX75" s="14"/>
      <c r="UVY75" s="113"/>
      <c r="UVZ75" s="114"/>
      <c r="UWA75" s="115"/>
      <c r="UWB75" s="18"/>
      <c r="UWC75" s="52"/>
      <c r="UWD75" s="53"/>
      <c r="UWE75" s="54"/>
      <c r="UWF75" s="11"/>
      <c r="UWG75" s="14"/>
      <c r="UWH75" s="113"/>
      <c r="UWI75" s="114"/>
      <c r="UWJ75" s="115"/>
      <c r="UWK75" s="18"/>
      <c r="UWL75" s="52"/>
      <c r="UWM75" s="53"/>
      <c r="UWN75" s="54"/>
      <c r="UWO75" s="11"/>
      <c r="UWP75" s="14"/>
      <c r="UWQ75" s="113"/>
      <c r="UWR75" s="114"/>
      <c r="UWS75" s="115"/>
      <c r="UWT75" s="18"/>
      <c r="UWU75" s="52"/>
      <c r="UWV75" s="53"/>
      <c r="UWW75" s="54"/>
      <c r="UWX75" s="11"/>
      <c r="UWY75" s="14"/>
      <c r="UWZ75" s="113"/>
      <c r="UXA75" s="114"/>
      <c r="UXB75" s="115"/>
      <c r="UXC75" s="18"/>
      <c r="UXD75" s="52"/>
      <c r="UXE75" s="53"/>
      <c r="UXF75" s="54"/>
      <c r="UXG75" s="11"/>
      <c r="UXH75" s="14"/>
      <c r="UXI75" s="113"/>
      <c r="UXJ75" s="114"/>
      <c r="UXK75" s="115"/>
      <c r="UXL75" s="18"/>
      <c r="UXM75" s="52"/>
      <c r="UXN75" s="53"/>
      <c r="UXO75" s="54"/>
      <c r="UXP75" s="11"/>
      <c r="UXQ75" s="14"/>
      <c r="UXR75" s="113"/>
      <c r="UXS75" s="114"/>
      <c r="UXT75" s="115"/>
      <c r="UXU75" s="18"/>
      <c r="UXV75" s="52"/>
      <c r="UXW75" s="53"/>
      <c r="UXX75" s="54"/>
      <c r="UXY75" s="11"/>
      <c r="UXZ75" s="14"/>
      <c r="UYA75" s="113"/>
      <c r="UYB75" s="114"/>
      <c r="UYC75" s="115"/>
      <c r="UYD75" s="18"/>
      <c r="UYE75" s="52"/>
      <c r="UYF75" s="53"/>
      <c r="UYG75" s="54"/>
      <c r="UYH75" s="11"/>
      <c r="UYI75" s="14"/>
      <c r="UYJ75" s="113"/>
      <c r="UYK75" s="114"/>
      <c r="UYL75" s="115"/>
      <c r="UYM75" s="18"/>
      <c r="UYN75" s="52"/>
      <c r="UYO75" s="53"/>
      <c r="UYP75" s="54"/>
      <c r="UYQ75" s="11"/>
      <c r="UYR75" s="14"/>
      <c r="UYS75" s="113"/>
      <c r="UYT75" s="114"/>
      <c r="UYU75" s="115"/>
      <c r="UYV75" s="18"/>
      <c r="UYW75" s="52"/>
      <c r="UYX75" s="53"/>
      <c r="UYY75" s="54"/>
      <c r="UYZ75" s="11"/>
      <c r="UZA75" s="14"/>
      <c r="UZB75" s="113"/>
      <c r="UZC75" s="114"/>
      <c r="UZD75" s="115"/>
      <c r="UZE75" s="18"/>
      <c r="UZF75" s="52"/>
      <c r="UZG75" s="53"/>
      <c r="UZH75" s="54"/>
      <c r="UZI75" s="11"/>
      <c r="UZJ75" s="14"/>
      <c r="UZK75" s="113"/>
      <c r="UZL75" s="114"/>
      <c r="UZM75" s="115"/>
      <c r="UZN75" s="18"/>
      <c r="UZO75" s="52"/>
      <c r="UZP75" s="53"/>
      <c r="UZQ75" s="54"/>
      <c r="UZR75" s="11"/>
      <c r="UZS75" s="14"/>
      <c r="UZT75" s="113"/>
      <c r="UZU75" s="114"/>
      <c r="UZV75" s="115"/>
      <c r="UZW75" s="18"/>
      <c r="UZX75" s="52"/>
      <c r="UZY75" s="53"/>
      <c r="UZZ75" s="54"/>
      <c r="VAA75" s="11"/>
      <c r="VAB75" s="14"/>
      <c r="VAC75" s="113"/>
      <c r="VAD75" s="114"/>
      <c r="VAE75" s="115"/>
      <c r="VAF75" s="18"/>
      <c r="VAG75" s="52"/>
      <c r="VAH75" s="53"/>
      <c r="VAI75" s="54"/>
      <c r="VAJ75" s="11"/>
      <c r="VAK75" s="14"/>
      <c r="VAL75" s="113"/>
      <c r="VAM75" s="114"/>
      <c r="VAN75" s="115"/>
      <c r="VAO75" s="18"/>
      <c r="VAP75" s="52"/>
      <c r="VAQ75" s="53"/>
      <c r="VAR75" s="54"/>
      <c r="VAS75" s="11"/>
      <c r="VAT75" s="14"/>
      <c r="VAU75" s="113"/>
      <c r="VAV75" s="114"/>
      <c r="VAW75" s="115"/>
      <c r="VAX75" s="18"/>
      <c r="VAY75" s="52"/>
      <c r="VAZ75" s="53"/>
      <c r="VBA75" s="54"/>
      <c r="VBB75" s="11"/>
      <c r="VBC75" s="14"/>
      <c r="VBD75" s="113"/>
      <c r="VBE75" s="114"/>
      <c r="VBF75" s="115"/>
      <c r="VBG75" s="18"/>
      <c r="VBH75" s="52"/>
      <c r="VBI75" s="53"/>
      <c r="VBJ75" s="54"/>
      <c r="VBK75" s="11"/>
      <c r="VBL75" s="14"/>
      <c r="VBM75" s="113"/>
      <c r="VBN75" s="114"/>
      <c r="VBO75" s="115"/>
      <c r="VBP75" s="18"/>
      <c r="VBQ75" s="52"/>
      <c r="VBR75" s="53"/>
      <c r="VBS75" s="54"/>
      <c r="VBT75" s="11"/>
      <c r="VBU75" s="14"/>
      <c r="VBV75" s="113"/>
      <c r="VBW75" s="114"/>
      <c r="VBX75" s="115"/>
      <c r="VBY75" s="18"/>
      <c r="VBZ75" s="52"/>
      <c r="VCA75" s="53"/>
      <c r="VCB75" s="54"/>
      <c r="VCC75" s="11"/>
      <c r="VCD75" s="14"/>
      <c r="VCE75" s="113"/>
      <c r="VCF75" s="114"/>
      <c r="VCG75" s="115"/>
      <c r="VCH75" s="18"/>
      <c r="VCI75" s="52"/>
      <c r="VCJ75" s="53"/>
      <c r="VCK75" s="54"/>
      <c r="VCL75" s="11"/>
      <c r="VCM75" s="14"/>
      <c r="VCN75" s="113"/>
      <c r="VCO75" s="114"/>
      <c r="VCP75" s="115"/>
      <c r="VCQ75" s="18"/>
      <c r="VCR75" s="52"/>
      <c r="VCS75" s="53"/>
      <c r="VCT75" s="54"/>
      <c r="VCU75" s="11"/>
      <c r="VCV75" s="14"/>
      <c r="VCW75" s="113"/>
      <c r="VCX75" s="114"/>
      <c r="VCY75" s="115"/>
      <c r="VCZ75" s="18"/>
      <c r="VDA75" s="52"/>
      <c r="VDB75" s="53"/>
      <c r="VDC75" s="54"/>
      <c r="VDD75" s="11"/>
      <c r="VDE75" s="14"/>
      <c r="VDF75" s="113"/>
      <c r="VDG75" s="114"/>
      <c r="VDH75" s="115"/>
      <c r="VDI75" s="18"/>
      <c r="VDJ75" s="52"/>
      <c r="VDK75" s="53"/>
      <c r="VDL75" s="54"/>
      <c r="VDM75" s="11"/>
      <c r="VDN75" s="14"/>
      <c r="VDO75" s="113"/>
      <c r="VDP75" s="114"/>
      <c r="VDQ75" s="115"/>
      <c r="VDR75" s="18"/>
      <c r="VDS75" s="52"/>
      <c r="VDT75" s="53"/>
      <c r="VDU75" s="54"/>
      <c r="VDV75" s="11"/>
      <c r="VDW75" s="14"/>
      <c r="VDX75" s="113"/>
      <c r="VDY75" s="114"/>
      <c r="VDZ75" s="115"/>
      <c r="VEA75" s="18"/>
      <c r="VEB75" s="52"/>
      <c r="VEC75" s="53"/>
      <c r="VED75" s="54"/>
      <c r="VEE75" s="11"/>
      <c r="VEF75" s="14"/>
      <c r="VEG75" s="113"/>
      <c r="VEH75" s="114"/>
      <c r="VEI75" s="115"/>
      <c r="VEJ75" s="18"/>
      <c r="VEK75" s="52"/>
      <c r="VEL75" s="53"/>
      <c r="VEM75" s="54"/>
      <c r="VEN75" s="11"/>
      <c r="VEO75" s="14"/>
      <c r="VEP75" s="113"/>
      <c r="VEQ75" s="114"/>
      <c r="VER75" s="115"/>
      <c r="VES75" s="18"/>
      <c r="VET75" s="52"/>
      <c r="VEU75" s="53"/>
      <c r="VEV75" s="54"/>
      <c r="VEW75" s="11"/>
      <c r="VEX75" s="14"/>
      <c r="VEY75" s="113"/>
      <c r="VEZ75" s="114"/>
      <c r="VFA75" s="115"/>
      <c r="VFB75" s="18"/>
      <c r="VFC75" s="52"/>
      <c r="VFD75" s="53"/>
      <c r="VFE75" s="54"/>
      <c r="VFF75" s="11"/>
      <c r="VFG75" s="14"/>
      <c r="VFH75" s="113"/>
      <c r="VFI75" s="114"/>
      <c r="VFJ75" s="115"/>
      <c r="VFK75" s="18"/>
      <c r="VFL75" s="52"/>
      <c r="VFM75" s="53"/>
      <c r="VFN75" s="54"/>
      <c r="VFO75" s="11"/>
      <c r="VFP75" s="14"/>
      <c r="VFQ75" s="113"/>
      <c r="VFR75" s="114"/>
      <c r="VFS75" s="115"/>
      <c r="VFT75" s="18"/>
      <c r="VFU75" s="52"/>
      <c r="VFV75" s="53"/>
      <c r="VFW75" s="54"/>
      <c r="VFX75" s="11"/>
      <c r="VFY75" s="14"/>
      <c r="VFZ75" s="113"/>
      <c r="VGA75" s="114"/>
      <c r="VGB75" s="115"/>
      <c r="VGC75" s="18"/>
      <c r="VGD75" s="52"/>
      <c r="VGE75" s="53"/>
      <c r="VGF75" s="54"/>
      <c r="VGG75" s="11"/>
      <c r="VGH75" s="14"/>
      <c r="VGI75" s="113"/>
      <c r="VGJ75" s="114"/>
      <c r="VGK75" s="115"/>
      <c r="VGL75" s="18"/>
      <c r="VGM75" s="52"/>
      <c r="VGN75" s="53"/>
      <c r="VGO75" s="54"/>
      <c r="VGP75" s="11"/>
      <c r="VGQ75" s="14"/>
      <c r="VGR75" s="113"/>
      <c r="VGS75" s="114"/>
      <c r="VGT75" s="115"/>
      <c r="VGU75" s="18"/>
      <c r="VGV75" s="52"/>
      <c r="VGW75" s="53"/>
      <c r="VGX75" s="54"/>
      <c r="VGY75" s="11"/>
      <c r="VGZ75" s="14"/>
      <c r="VHA75" s="113"/>
      <c r="VHB75" s="114"/>
      <c r="VHC75" s="115"/>
      <c r="VHD75" s="18"/>
      <c r="VHE75" s="52"/>
      <c r="VHF75" s="53"/>
      <c r="VHG75" s="54"/>
      <c r="VHH75" s="11"/>
      <c r="VHI75" s="14"/>
      <c r="VHJ75" s="113"/>
      <c r="VHK75" s="114"/>
      <c r="VHL75" s="115"/>
      <c r="VHM75" s="18"/>
      <c r="VHN75" s="52"/>
      <c r="VHO75" s="53"/>
      <c r="VHP75" s="54"/>
      <c r="VHQ75" s="11"/>
      <c r="VHR75" s="14"/>
      <c r="VHS75" s="113"/>
      <c r="VHT75" s="114"/>
      <c r="VHU75" s="115"/>
      <c r="VHV75" s="18"/>
      <c r="VHW75" s="52"/>
      <c r="VHX75" s="53"/>
      <c r="VHY75" s="54"/>
      <c r="VHZ75" s="11"/>
      <c r="VIA75" s="14"/>
      <c r="VIB75" s="113"/>
      <c r="VIC75" s="114"/>
      <c r="VID75" s="115"/>
      <c r="VIE75" s="18"/>
      <c r="VIF75" s="52"/>
      <c r="VIG75" s="53"/>
      <c r="VIH75" s="54"/>
      <c r="VII75" s="11"/>
      <c r="VIJ75" s="14"/>
      <c r="VIK75" s="113"/>
      <c r="VIL75" s="114"/>
      <c r="VIM75" s="115"/>
      <c r="VIN75" s="18"/>
      <c r="VIO75" s="52"/>
      <c r="VIP75" s="53"/>
      <c r="VIQ75" s="54"/>
      <c r="VIR75" s="11"/>
      <c r="VIS75" s="14"/>
      <c r="VIT75" s="113"/>
      <c r="VIU75" s="114"/>
      <c r="VIV75" s="115"/>
      <c r="VIW75" s="18"/>
      <c r="VIX75" s="52"/>
      <c r="VIY75" s="53"/>
      <c r="VIZ75" s="54"/>
      <c r="VJA75" s="11"/>
      <c r="VJB75" s="14"/>
      <c r="VJC75" s="113"/>
      <c r="VJD75" s="114"/>
      <c r="VJE75" s="115"/>
      <c r="VJF75" s="18"/>
      <c r="VJG75" s="52"/>
      <c r="VJH75" s="53"/>
      <c r="VJI75" s="54"/>
      <c r="VJJ75" s="11"/>
      <c r="VJK75" s="14"/>
      <c r="VJL75" s="113"/>
      <c r="VJM75" s="114"/>
      <c r="VJN75" s="115"/>
      <c r="VJO75" s="18"/>
      <c r="VJP75" s="52"/>
      <c r="VJQ75" s="53"/>
      <c r="VJR75" s="54"/>
      <c r="VJS75" s="11"/>
      <c r="VJT75" s="14"/>
      <c r="VJU75" s="113"/>
      <c r="VJV75" s="114"/>
      <c r="VJW75" s="115"/>
      <c r="VJX75" s="18"/>
      <c r="VJY75" s="52"/>
      <c r="VJZ75" s="53"/>
      <c r="VKA75" s="54"/>
      <c r="VKB75" s="11"/>
      <c r="VKC75" s="14"/>
      <c r="VKD75" s="113"/>
      <c r="VKE75" s="114"/>
      <c r="VKF75" s="115"/>
      <c r="VKG75" s="18"/>
      <c r="VKH75" s="52"/>
      <c r="VKI75" s="53"/>
      <c r="VKJ75" s="54"/>
      <c r="VKK75" s="11"/>
      <c r="VKL75" s="14"/>
      <c r="VKM75" s="113"/>
      <c r="VKN75" s="114"/>
      <c r="VKO75" s="115"/>
      <c r="VKP75" s="18"/>
      <c r="VKQ75" s="52"/>
      <c r="VKR75" s="53"/>
      <c r="VKS75" s="54"/>
      <c r="VKT75" s="11"/>
      <c r="VKU75" s="14"/>
      <c r="VKV75" s="113"/>
      <c r="VKW75" s="114"/>
      <c r="VKX75" s="115"/>
      <c r="VKY75" s="18"/>
      <c r="VKZ75" s="52"/>
      <c r="VLA75" s="53"/>
      <c r="VLB75" s="54"/>
      <c r="VLC75" s="11"/>
      <c r="VLD75" s="14"/>
      <c r="VLE75" s="113"/>
      <c r="VLF75" s="114"/>
      <c r="VLG75" s="115"/>
      <c r="VLH75" s="18"/>
      <c r="VLI75" s="52"/>
      <c r="VLJ75" s="53"/>
      <c r="VLK75" s="54"/>
      <c r="VLL75" s="11"/>
      <c r="VLM75" s="14"/>
      <c r="VLN75" s="113"/>
      <c r="VLO75" s="114"/>
      <c r="VLP75" s="115"/>
      <c r="VLQ75" s="18"/>
      <c r="VLR75" s="52"/>
      <c r="VLS75" s="53"/>
      <c r="VLT75" s="54"/>
      <c r="VLU75" s="11"/>
      <c r="VLV75" s="14"/>
      <c r="VLW75" s="113"/>
      <c r="VLX75" s="114"/>
      <c r="VLY75" s="115"/>
      <c r="VLZ75" s="18"/>
      <c r="VMA75" s="52"/>
      <c r="VMB75" s="53"/>
      <c r="VMC75" s="54"/>
      <c r="VMD75" s="11"/>
      <c r="VME75" s="14"/>
      <c r="VMF75" s="113"/>
      <c r="VMG75" s="114"/>
      <c r="VMH75" s="115"/>
      <c r="VMI75" s="18"/>
      <c r="VMJ75" s="52"/>
      <c r="VMK75" s="53"/>
      <c r="VML75" s="54"/>
      <c r="VMM75" s="11"/>
      <c r="VMN75" s="14"/>
      <c r="VMO75" s="113"/>
      <c r="VMP75" s="114"/>
      <c r="VMQ75" s="115"/>
      <c r="VMR75" s="18"/>
      <c r="VMS75" s="52"/>
      <c r="VMT75" s="53"/>
      <c r="VMU75" s="54"/>
      <c r="VMV75" s="11"/>
      <c r="VMW75" s="14"/>
      <c r="VMX75" s="113"/>
      <c r="VMY75" s="114"/>
      <c r="VMZ75" s="115"/>
      <c r="VNA75" s="18"/>
      <c r="VNB75" s="52"/>
      <c r="VNC75" s="53"/>
      <c r="VND75" s="54"/>
      <c r="VNE75" s="11"/>
      <c r="VNF75" s="14"/>
      <c r="VNG75" s="113"/>
      <c r="VNH75" s="114"/>
      <c r="VNI75" s="115"/>
      <c r="VNJ75" s="18"/>
      <c r="VNK75" s="52"/>
      <c r="VNL75" s="53"/>
      <c r="VNM75" s="54"/>
      <c r="VNN75" s="11"/>
      <c r="VNO75" s="14"/>
      <c r="VNP75" s="113"/>
      <c r="VNQ75" s="114"/>
      <c r="VNR75" s="115"/>
      <c r="VNS75" s="18"/>
      <c r="VNT75" s="52"/>
      <c r="VNU75" s="53"/>
      <c r="VNV75" s="54"/>
      <c r="VNW75" s="11"/>
      <c r="VNX75" s="14"/>
      <c r="VNY75" s="113"/>
      <c r="VNZ75" s="114"/>
      <c r="VOA75" s="115"/>
      <c r="VOB75" s="18"/>
      <c r="VOC75" s="52"/>
      <c r="VOD75" s="53"/>
      <c r="VOE75" s="54"/>
      <c r="VOF75" s="11"/>
      <c r="VOG75" s="14"/>
      <c r="VOH75" s="113"/>
      <c r="VOI75" s="114"/>
      <c r="VOJ75" s="115"/>
      <c r="VOK75" s="18"/>
      <c r="VOL75" s="52"/>
      <c r="VOM75" s="53"/>
      <c r="VON75" s="54"/>
      <c r="VOO75" s="11"/>
      <c r="VOP75" s="14"/>
      <c r="VOQ75" s="113"/>
      <c r="VOR75" s="114"/>
      <c r="VOS75" s="115"/>
      <c r="VOT75" s="18"/>
      <c r="VOU75" s="52"/>
      <c r="VOV75" s="53"/>
      <c r="VOW75" s="54"/>
      <c r="VOX75" s="11"/>
      <c r="VOY75" s="14"/>
      <c r="VOZ75" s="113"/>
      <c r="VPA75" s="114"/>
      <c r="VPB75" s="115"/>
      <c r="VPC75" s="18"/>
      <c r="VPD75" s="52"/>
      <c r="VPE75" s="53"/>
      <c r="VPF75" s="54"/>
      <c r="VPG75" s="11"/>
      <c r="VPH75" s="14"/>
      <c r="VPI75" s="113"/>
      <c r="VPJ75" s="114"/>
      <c r="VPK75" s="115"/>
      <c r="VPL75" s="18"/>
      <c r="VPM75" s="52"/>
      <c r="VPN75" s="53"/>
      <c r="VPO75" s="54"/>
      <c r="VPP75" s="11"/>
      <c r="VPQ75" s="14"/>
      <c r="VPR75" s="113"/>
      <c r="VPS75" s="114"/>
      <c r="VPT75" s="115"/>
      <c r="VPU75" s="18"/>
      <c r="VPV75" s="52"/>
      <c r="VPW75" s="53"/>
      <c r="VPX75" s="54"/>
      <c r="VPY75" s="11"/>
      <c r="VPZ75" s="14"/>
      <c r="VQA75" s="113"/>
      <c r="VQB75" s="114"/>
      <c r="VQC75" s="115"/>
      <c r="VQD75" s="18"/>
      <c r="VQE75" s="52"/>
      <c r="VQF75" s="53"/>
      <c r="VQG75" s="54"/>
      <c r="VQH75" s="11"/>
      <c r="VQI75" s="14"/>
      <c r="VQJ75" s="113"/>
      <c r="VQK75" s="114"/>
      <c r="VQL75" s="115"/>
      <c r="VQM75" s="18"/>
      <c r="VQN75" s="52"/>
      <c r="VQO75" s="53"/>
      <c r="VQP75" s="54"/>
      <c r="VQQ75" s="11"/>
      <c r="VQR75" s="14"/>
      <c r="VQS75" s="113"/>
      <c r="VQT75" s="114"/>
      <c r="VQU75" s="115"/>
      <c r="VQV75" s="18"/>
      <c r="VQW75" s="52"/>
      <c r="VQX75" s="53"/>
      <c r="VQY75" s="54"/>
      <c r="VQZ75" s="11"/>
      <c r="VRA75" s="14"/>
      <c r="VRB75" s="113"/>
      <c r="VRC75" s="114"/>
      <c r="VRD75" s="115"/>
      <c r="VRE75" s="18"/>
      <c r="VRF75" s="52"/>
      <c r="VRG75" s="53"/>
      <c r="VRH75" s="54"/>
      <c r="VRI75" s="11"/>
      <c r="VRJ75" s="14"/>
      <c r="VRK75" s="113"/>
      <c r="VRL75" s="114"/>
      <c r="VRM75" s="115"/>
      <c r="VRN75" s="18"/>
      <c r="VRO75" s="52"/>
      <c r="VRP75" s="53"/>
      <c r="VRQ75" s="54"/>
      <c r="VRR75" s="11"/>
      <c r="VRS75" s="14"/>
      <c r="VRT75" s="113"/>
      <c r="VRU75" s="114"/>
      <c r="VRV75" s="115"/>
      <c r="VRW75" s="18"/>
      <c r="VRX75" s="52"/>
      <c r="VRY75" s="53"/>
      <c r="VRZ75" s="54"/>
      <c r="VSA75" s="11"/>
      <c r="VSB75" s="14"/>
      <c r="VSC75" s="113"/>
      <c r="VSD75" s="114"/>
      <c r="VSE75" s="115"/>
      <c r="VSF75" s="18"/>
      <c r="VSG75" s="52"/>
      <c r="VSH75" s="53"/>
      <c r="VSI75" s="54"/>
      <c r="VSJ75" s="11"/>
      <c r="VSK75" s="14"/>
      <c r="VSL75" s="113"/>
      <c r="VSM75" s="114"/>
      <c r="VSN75" s="115"/>
      <c r="VSO75" s="18"/>
      <c r="VSP75" s="52"/>
      <c r="VSQ75" s="53"/>
      <c r="VSR75" s="54"/>
      <c r="VSS75" s="11"/>
      <c r="VST75" s="14"/>
      <c r="VSU75" s="113"/>
      <c r="VSV75" s="114"/>
      <c r="VSW75" s="115"/>
      <c r="VSX75" s="18"/>
      <c r="VSY75" s="52"/>
      <c r="VSZ75" s="53"/>
      <c r="VTA75" s="54"/>
      <c r="VTB75" s="11"/>
      <c r="VTC75" s="14"/>
      <c r="VTD75" s="113"/>
      <c r="VTE75" s="114"/>
      <c r="VTF75" s="115"/>
      <c r="VTG75" s="18"/>
      <c r="VTH75" s="52"/>
      <c r="VTI75" s="53"/>
      <c r="VTJ75" s="54"/>
      <c r="VTK75" s="11"/>
      <c r="VTL75" s="14"/>
      <c r="VTM75" s="113"/>
      <c r="VTN75" s="114"/>
      <c r="VTO75" s="115"/>
      <c r="VTP75" s="18"/>
      <c r="VTQ75" s="52"/>
      <c r="VTR75" s="53"/>
      <c r="VTS75" s="54"/>
      <c r="VTT75" s="11"/>
      <c r="VTU75" s="14"/>
      <c r="VTV75" s="113"/>
      <c r="VTW75" s="114"/>
      <c r="VTX75" s="115"/>
      <c r="VTY75" s="18"/>
      <c r="VTZ75" s="52"/>
      <c r="VUA75" s="53"/>
      <c r="VUB75" s="54"/>
      <c r="VUC75" s="11"/>
      <c r="VUD75" s="14"/>
      <c r="VUE75" s="113"/>
      <c r="VUF75" s="114"/>
      <c r="VUG75" s="115"/>
      <c r="VUH75" s="18"/>
      <c r="VUI75" s="52"/>
      <c r="VUJ75" s="53"/>
      <c r="VUK75" s="54"/>
      <c r="VUL75" s="11"/>
      <c r="VUM75" s="14"/>
      <c r="VUN75" s="113"/>
      <c r="VUO75" s="114"/>
      <c r="VUP75" s="115"/>
      <c r="VUQ75" s="18"/>
      <c r="VUR75" s="52"/>
      <c r="VUS75" s="53"/>
      <c r="VUT75" s="54"/>
      <c r="VUU75" s="11"/>
      <c r="VUV75" s="14"/>
      <c r="VUW75" s="113"/>
      <c r="VUX75" s="114"/>
      <c r="VUY75" s="115"/>
      <c r="VUZ75" s="18"/>
      <c r="VVA75" s="52"/>
      <c r="VVB75" s="53"/>
      <c r="VVC75" s="54"/>
      <c r="VVD75" s="11"/>
      <c r="VVE75" s="14"/>
      <c r="VVF75" s="113"/>
      <c r="VVG75" s="114"/>
      <c r="VVH75" s="115"/>
      <c r="VVI75" s="18"/>
      <c r="VVJ75" s="52"/>
      <c r="VVK75" s="53"/>
      <c r="VVL75" s="54"/>
      <c r="VVM75" s="11"/>
      <c r="VVN75" s="14"/>
      <c r="VVO75" s="113"/>
      <c r="VVP75" s="114"/>
      <c r="VVQ75" s="115"/>
      <c r="VVR75" s="18"/>
      <c r="VVS75" s="52"/>
      <c r="VVT75" s="53"/>
      <c r="VVU75" s="54"/>
      <c r="VVV75" s="11"/>
      <c r="VVW75" s="14"/>
      <c r="VVX75" s="113"/>
      <c r="VVY75" s="114"/>
      <c r="VVZ75" s="115"/>
      <c r="VWA75" s="18"/>
      <c r="VWB75" s="52"/>
      <c r="VWC75" s="53"/>
      <c r="VWD75" s="54"/>
      <c r="VWE75" s="11"/>
      <c r="VWF75" s="14"/>
      <c r="VWG75" s="113"/>
      <c r="VWH75" s="114"/>
      <c r="VWI75" s="115"/>
      <c r="VWJ75" s="18"/>
      <c r="VWK75" s="52"/>
      <c r="VWL75" s="53"/>
      <c r="VWM75" s="54"/>
      <c r="VWN75" s="11"/>
      <c r="VWO75" s="14"/>
      <c r="VWP75" s="113"/>
      <c r="VWQ75" s="114"/>
      <c r="VWR75" s="115"/>
      <c r="VWS75" s="18"/>
      <c r="VWT75" s="52"/>
      <c r="VWU75" s="53"/>
      <c r="VWV75" s="54"/>
      <c r="VWW75" s="11"/>
      <c r="VWX75" s="14"/>
      <c r="VWY75" s="113"/>
      <c r="VWZ75" s="114"/>
      <c r="VXA75" s="115"/>
      <c r="VXB75" s="18"/>
      <c r="VXC75" s="52"/>
      <c r="VXD75" s="53"/>
      <c r="VXE75" s="54"/>
      <c r="VXF75" s="11"/>
      <c r="VXG75" s="14"/>
      <c r="VXH75" s="113"/>
      <c r="VXI75" s="114"/>
      <c r="VXJ75" s="115"/>
      <c r="VXK75" s="18"/>
      <c r="VXL75" s="52"/>
      <c r="VXM75" s="53"/>
      <c r="VXN75" s="54"/>
      <c r="VXO75" s="11"/>
      <c r="VXP75" s="14"/>
      <c r="VXQ75" s="113"/>
      <c r="VXR75" s="114"/>
      <c r="VXS75" s="115"/>
      <c r="VXT75" s="18"/>
      <c r="VXU75" s="52"/>
      <c r="VXV75" s="53"/>
      <c r="VXW75" s="54"/>
      <c r="VXX75" s="11"/>
      <c r="VXY75" s="14"/>
      <c r="VXZ75" s="113"/>
      <c r="VYA75" s="114"/>
      <c r="VYB75" s="115"/>
      <c r="VYC75" s="18"/>
      <c r="VYD75" s="52"/>
      <c r="VYE75" s="53"/>
      <c r="VYF75" s="54"/>
      <c r="VYG75" s="11"/>
      <c r="VYH75" s="14"/>
      <c r="VYI75" s="113"/>
      <c r="VYJ75" s="114"/>
      <c r="VYK75" s="115"/>
      <c r="VYL75" s="18"/>
      <c r="VYM75" s="52"/>
      <c r="VYN75" s="53"/>
      <c r="VYO75" s="54"/>
      <c r="VYP75" s="11"/>
      <c r="VYQ75" s="14"/>
      <c r="VYR75" s="113"/>
      <c r="VYS75" s="114"/>
      <c r="VYT75" s="115"/>
      <c r="VYU75" s="18"/>
      <c r="VYV75" s="52"/>
      <c r="VYW75" s="53"/>
      <c r="VYX75" s="54"/>
      <c r="VYY75" s="11"/>
      <c r="VYZ75" s="14"/>
      <c r="VZA75" s="113"/>
      <c r="VZB75" s="114"/>
      <c r="VZC75" s="115"/>
      <c r="VZD75" s="18"/>
      <c r="VZE75" s="52"/>
      <c r="VZF75" s="53"/>
      <c r="VZG75" s="54"/>
      <c r="VZH75" s="11"/>
      <c r="VZI75" s="14"/>
      <c r="VZJ75" s="113"/>
      <c r="VZK75" s="114"/>
      <c r="VZL75" s="115"/>
      <c r="VZM75" s="18"/>
      <c r="VZN75" s="52"/>
      <c r="VZO75" s="53"/>
      <c r="VZP75" s="54"/>
      <c r="VZQ75" s="11"/>
      <c r="VZR75" s="14"/>
      <c r="VZS75" s="113"/>
      <c r="VZT75" s="114"/>
      <c r="VZU75" s="115"/>
      <c r="VZV75" s="18"/>
      <c r="VZW75" s="52"/>
      <c r="VZX75" s="53"/>
      <c r="VZY75" s="54"/>
      <c r="VZZ75" s="11"/>
      <c r="WAA75" s="14"/>
      <c r="WAB75" s="113"/>
      <c r="WAC75" s="114"/>
      <c r="WAD75" s="115"/>
      <c r="WAE75" s="18"/>
      <c r="WAF75" s="52"/>
      <c r="WAG75" s="53"/>
      <c r="WAH75" s="54"/>
      <c r="WAI75" s="11"/>
      <c r="WAJ75" s="14"/>
      <c r="WAK75" s="113"/>
      <c r="WAL75" s="114"/>
      <c r="WAM75" s="115"/>
      <c r="WAN75" s="18"/>
      <c r="WAO75" s="52"/>
      <c r="WAP75" s="53"/>
      <c r="WAQ75" s="54"/>
      <c r="WAR75" s="11"/>
      <c r="WAS75" s="14"/>
      <c r="WAT75" s="113"/>
      <c r="WAU75" s="114"/>
      <c r="WAV75" s="115"/>
      <c r="WAW75" s="18"/>
      <c r="WAX75" s="52"/>
      <c r="WAY75" s="53"/>
      <c r="WAZ75" s="54"/>
      <c r="WBA75" s="11"/>
      <c r="WBB75" s="14"/>
      <c r="WBC75" s="113"/>
      <c r="WBD75" s="114"/>
      <c r="WBE75" s="115"/>
      <c r="WBF75" s="18"/>
      <c r="WBG75" s="52"/>
      <c r="WBH75" s="53"/>
      <c r="WBI75" s="54"/>
      <c r="WBJ75" s="11"/>
      <c r="WBK75" s="14"/>
      <c r="WBL75" s="113"/>
      <c r="WBM75" s="114"/>
      <c r="WBN75" s="115"/>
      <c r="WBO75" s="18"/>
      <c r="WBP75" s="52"/>
      <c r="WBQ75" s="53"/>
      <c r="WBR75" s="54"/>
      <c r="WBS75" s="11"/>
      <c r="WBT75" s="14"/>
      <c r="WBU75" s="113"/>
      <c r="WBV75" s="114"/>
      <c r="WBW75" s="115"/>
      <c r="WBX75" s="18"/>
      <c r="WBY75" s="52"/>
      <c r="WBZ75" s="53"/>
      <c r="WCA75" s="54"/>
      <c r="WCB75" s="11"/>
      <c r="WCC75" s="14"/>
      <c r="WCD75" s="113"/>
      <c r="WCE75" s="114"/>
      <c r="WCF75" s="115"/>
      <c r="WCG75" s="18"/>
      <c r="WCH75" s="52"/>
      <c r="WCI75" s="53"/>
      <c r="WCJ75" s="54"/>
      <c r="WCK75" s="11"/>
      <c r="WCL75" s="14"/>
      <c r="WCM75" s="113"/>
      <c r="WCN75" s="114"/>
      <c r="WCO75" s="115"/>
      <c r="WCP75" s="18"/>
      <c r="WCQ75" s="52"/>
      <c r="WCR75" s="53"/>
      <c r="WCS75" s="54"/>
      <c r="WCT75" s="11"/>
      <c r="WCU75" s="14"/>
      <c r="WCV75" s="113"/>
      <c r="WCW75" s="114"/>
      <c r="WCX75" s="115"/>
      <c r="WCY75" s="18"/>
      <c r="WCZ75" s="52"/>
      <c r="WDA75" s="53"/>
      <c r="WDB75" s="54"/>
      <c r="WDC75" s="11"/>
      <c r="WDD75" s="14"/>
      <c r="WDE75" s="113"/>
      <c r="WDF75" s="114"/>
      <c r="WDG75" s="115"/>
      <c r="WDH75" s="18"/>
      <c r="WDI75" s="52"/>
      <c r="WDJ75" s="53"/>
      <c r="WDK75" s="54"/>
      <c r="WDL75" s="11"/>
      <c r="WDM75" s="14"/>
      <c r="WDN75" s="113"/>
      <c r="WDO75" s="114"/>
      <c r="WDP75" s="115"/>
      <c r="WDQ75" s="18"/>
      <c r="WDR75" s="52"/>
      <c r="WDS75" s="53"/>
      <c r="WDT75" s="54"/>
      <c r="WDU75" s="11"/>
      <c r="WDV75" s="14"/>
      <c r="WDW75" s="113"/>
      <c r="WDX75" s="114"/>
      <c r="WDY75" s="115"/>
      <c r="WDZ75" s="18"/>
      <c r="WEA75" s="52"/>
      <c r="WEB75" s="53"/>
      <c r="WEC75" s="54"/>
      <c r="WED75" s="11"/>
      <c r="WEE75" s="14"/>
      <c r="WEF75" s="113"/>
      <c r="WEG75" s="114"/>
      <c r="WEH75" s="115"/>
      <c r="WEI75" s="18"/>
      <c r="WEJ75" s="52"/>
      <c r="WEK75" s="53"/>
      <c r="WEL75" s="54"/>
      <c r="WEM75" s="11"/>
      <c r="WEN75" s="14"/>
      <c r="WEO75" s="113"/>
      <c r="WEP75" s="114"/>
      <c r="WEQ75" s="115"/>
      <c r="WER75" s="18"/>
      <c r="WES75" s="52"/>
      <c r="WET75" s="53"/>
      <c r="WEU75" s="54"/>
      <c r="WEV75" s="11"/>
      <c r="WEW75" s="14"/>
      <c r="WEX75" s="113"/>
      <c r="WEY75" s="114"/>
      <c r="WEZ75" s="115"/>
      <c r="WFA75" s="18"/>
      <c r="WFB75" s="52"/>
      <c r="WFC75" s="53"/>
      <c r="WFD75" s="54"/>
      <c r="WFE75" s="11"/>
      <c r="WFF75" s="14"/>
      <c r="WFG75" s="113"/>
      <c r="WFH75" s="114"/>
      <c r="WFI75" s="115"/>
      <c r="WFJ75" s="18"/>
      <c r="WFK75" s="52"/>
      <c r="WFL75" s="53"/>
      <c r="WFM75" s="54"/>
      <c r="WFN75" s="11"/>
      <c r="WFO75" s="14"/>
      <c r="WFP75" s="113"/>
      <c r="WFQ75" s="114"/>
      <c r="WFR75" s="115"/>
      <c r="WFS75" s="18"/>
      <c r="WFT75" s="52"/>
      <c r="WFU75" s="53"/>
      <c r="WFV75" s="54"/>
      <c r="WFW75" s="11"/>
      <c r="WFX75" s="14"/>
      <c r="WFY75" s="113"/>
      <c r="WFZ75" s="114"/>
      <c r="WGA75" s="115"/>
      <c r="WGB75" s="18"/>
      <c r="WGC75" s="52"/>
      <c r="WGD75" s="53"/>
      <c r="WGE75" s="54"/>
      <c r="WGF75" s="11"/>
      <c r="WGG75" s="14"/>
      <c r="WGH75" s="113"/>
      <c r="WGI75" s="114"/>
      <c r="WGJ75" s="115"/>
      <c r="WGK75" s="18"/>
      <c r="WGL75" s="52"/>
      <c r="WGM75" s="53"/>
      <c r="WGN75" s="54"/>
      <c r="WGO75" s="11"/>
      <c r="WGP75" s="14"/>
      <c r="WGQ75" s="113"/>
      <c r="WGR75" s="114"/>
      <c r="WGS75" s="115"/>
      <c r="WGT75" s="18"/>
      <c r="WGU75" s="52"/>
      <c r="WGV75" s="53"/>
      <c r="WGW75" s="54"/>
      <c r="WGX75" s="11"/>
      <c r="WGY75" s="14"/>
      <c r="WGZ75" s="113"/>
      <c r="WHA75" s="114"/>
      <c r="WHB75" s="115"/>
      <c r="WHC75" s="18"/>
      <c r="WHD75" s="52"/>
      <c r="WHE75" s="53"/>
      <c r="WHF75" s="54"/>
      <c r="WHG75" s="11"/>
      <c r="WHH75" s="14"/>
      <c r="WHI75" s="113"/>
      <c r="WHJ75" s="114"/>
      <c r="WHK75" s="115"/>
      <c r="WHL75" s="18"/>
      <c r="WHM75" s="52"/>
      <c r="WHN75" s="53"/>
      <c r="WHO75" s="54"/>
      <c r="WHP75" s="11"/>
      <c r="WHQ75" s="14"/>
      <c r="WHR75" s="113"/>
      <c r="WHS75" s="114"/>
      <c r="WHT75" s="115"/>
      <c r="WHU75" s="18"/>
      <c r="WHV75" s="52"/>
      <c r="WHW75" s="53"/>
      <c r="WHX75" s="54"/>
      <c r="WHY75" s="11"/>
      <c r="WHZ75" s="14"/>
      <c r="WIA75" s="113"/>
      <c r="WIB75" s="114"/>
      <c r="WIC75" s="115"/>
      <c r="WID75" s="18"/>
      <c r="WIE75" s="52"/>
      <c r="WIF75" s="53"/>
      <c r="WIG75" s="54"/>
      <c r="WIH75" s="11"/>
      <c r="WII75" s="14"/>
      <c r="WIJ75" s="113"/>
      <c r="WIK75" s="114"/>
      <c r="WIL75" s="115"/>
      <c r="WIM75" s="18"/>
      <c r="WIN75" s="52"/>
      <c r="WIO75" s="53"/>
      <c r="WIP75" s="54"/>
      <c r="WIQ75" s="11"/>
      <c r="WIR75" s="14"/>
      <c r="WIS75" s="113"/>
      <c r="WIT75" s="114"/>
      <c r="WIU75" s="115"/>
      <c r="WIV75" s="18"/>
      <c r="WIW75" s="52"/>
      <c r="WIX75" s="53"/>
      <c r="WIY75" s="54"/>
      <c r="WIZ75" s="11"/>
      <c r="WJA75" s="14"/>
      <c r="WJB75" s="113"/>
      <c r="WJC75" s="114"/>
      <c r="WJD75" s="115"/>
      <c r="WJE75" s="18"/>
      <c r="WJF75" s="52"/>
      <c r="WJG75" s="53"/>
      <c r="WJH75" s="54"/>
      <c r="WJI75" s="11"/>
      <c r="WJJ75" s="14"/>
      <c r="WJK75" s="113"/>
      <c r="WJL75" s="114"/>
      <c r="WJM75" s="115"/>
      <c r="WJN75" s="18"/>
      <c r="WJO75" s="52"/>
      <c r="WJP75" s="53"/>
      <c r="WJQ75" s="54"/>
      <c r="WJR75" s="11"/>
      <c r="WJS75" s="14"/>
      <c r="WJT75" s="113"/>
      <c r="WJU75" s="114"/>
      <c r="WJV75" s="115"/>
      <c r="WJW75" s="18"/>
      <c r="WJX75" s="52"/>
      <c r="WJY75" s="53"/>
      <c r="WJZ75" s="54"/>
      <c r="WKA75" s="11"/>
      <c r="WKB75" s="14"/>
      <c r="WKC75" s="113"/>
      <c r="WKD75" s="114"/>
      <c r="WKE75" s="115"/>
      <c r="WKF75" s="18"/>
      <c r="WKG75" s="52"/>
      <c r="WKH75" s="53"/>
      <c r="WKI75" s="54"/>
      <c r="WKJ75" s="11"/>
      <c r="WKK75" s="14"/>
      <c r="WKL75" s="113"/>
      <c r="WKM75" s="114"/>
      <c r="WKN75" s="115"/>
      <c r="WKO75" s="18"/>
      <c r="WKP75" s="52"/>
      <c r="WKQ75" s="53"/>
      <c r="WKR75" s="54"/>
      <c r="WKS75" s="11"/>
      <c r="WKT75" s="14"/>
      <c r="WKU75" s="113"/>
      <c r="WKV75" s="114"/>
      <c r="WKW75" s="115"/>
      <c r="WKX75" s="18"/>
      <c r="WKY75" s="52"/>
      <c r="WKZ75" s="53"/>
      <c r="WLA75" s="54"/>
      <c r="WLB75" s="11"/>
      <c r="WLC75" s="14"/>
      <c r="WLD75" s="113"/>
      <c r="WLE75" s="114"/>
      <c r="WLF75" s="115"/>
      <c r="WLG75" s="18"/>
      <c r="WLH75" s="52"/>
      <c r="WLI75" s="53"/>
      <c r="WLJ75" s="54"/>
      <c r="WLK75" s="11"/>
      <c r="WLL75" s="14"/>
      <c r="WLM75" s="113"/>
      <c r="WLN75" s="114"/>
      <c r="WLO75" s="115"/>
      <c r="WLP75" s="18"/>
      <c r="WLQ75" s="52"/>
      <c r="WLR75" s="53"/>
      <c r="WLS75" s="54"/>
      <c r="WLT75" s="11"/>
      <c r="WLU75" s="14"/>
      <c r="WLV75" s="113"/>
      <c r="WLW75" s="114"/>
      <c r="WLX75" s="115"/>
      <c r="WLY75" s="18"/>
      <c r="WLZ75" s="52"/>
      <c r="WMA75" s="53"/>
      <c r="WMB75" s="54"/>
      <c r="WMC75" s="11"/>
      <c r="WMD75" s="14"/>
      <c r="WME75" s="113"/>
      <c r="WMF75" s="114"/>
      <c r="WMG75" s="115"/>
      <c r="WMH75" s="18"/>
      <c r="WMI75" s="52"/>
      <c r="WMJ75" s="53"/>
      <c r="WMK75" s="54"/>
      <c r="WML75" s="11"/>
      <c r="WMM75" s="14"/>
      <c r="WMN75" s="113"/>
      <c r="WMO75" s="114"/>
      <c r="WMP75" s="115"/>
      <c r="WMQ75" s="18"/>
      <c r="WMR75" s="52"/>
      <c r="WMS75" s="53"/>
      <c r="WMT75" s="54"/>
      <c r="WMU75" s="11"/>
      <c r="WMV75" s="14"/>
      <c r="WMW75" s="113"/>
      <c r="WMX75" s="114"/>
      <c r="WMY75" s="115"/>
      <c r="WMZ75" s="18"/>
      <c r="WNA75" s="52"/>
      <c r="WNB75" s="53"/>
      <c r="WNC75" s="54"/>
      <c r="WND75" s="11"/>
      <c r="WNE75" s="14"/>
      <c r="WNF75" s="113"/>
      <c r="WNG75" s="114"/>
      <c r="WNH75" s="115"/>
      <c r="WNI75" s="18"/>
      <c r="WNJ75" s="52"/>
      <c r="WNK75" s="53"/>
      <c r="WNL75" s="54"/>
      <c r="WNM75" s="11"/>
      <c r="WNN75" s="14"/>
      <c r="WNO75" s="113"/>
      <c r="WNP75" s="114"/>
      <c r="WNQ75" s="115"/>
      <c r="WNR75" s="18"/>
      <c r="WNS75" s="52"/>
      <c r="WNT75" s="53"/>
      <c r="WNU75" s="54"/>
      <c r="WNV75" s="11"/>
      <c r="WNW75" s="14"/>
      <c r="WNX75" s="113"/>
      <c r="WNY75" s="114"/>
      <c r="WNZ75" s="115"/>
      <c r="WOA75" s="18"/>
      <c r="WOB75" s="52"/>
      <c r="WOC75" s="53"/>
      <c r="WOD75" s="54"/>
      <c r="WOE75" s="11"/>
      <c r="WOF75" s="14"/>
      <c r="WOG75" s="113"/>
      <c r="WOH75" s="114"/>
      <c r="WOI75" s="115"/>
      <c r="WOJ75" s="18"/>
      <c r="WOK75" s="52"/>
      <c r="WOL75" s="53"/>
      <c r="WOM75" s="54"/>
      <c r="WON75" s="11"/>
      <c r="WOO75" s="14"/>
      <c r="WOP75" s="113"/>
      <c r="WOQ75" s="114"/>
      <c r="WOR75" s="115"/>
      <c r="WOS75" s="18"/>
      <c r="WOT75" s="52"/>
      <c r="WOU75" s="53"/>
      <c r="WOV75" s="54"/>
      <c r="WOW75" s="11"/>
      <c r="WOX75" s="14"/>
      <c r="WOY75" s="113"/>
      <c r="WOZ75" s="114"/>
      <c r="WPA75" s="115"/>
      <c r="WPB75" s="18"/>
      <c r="WPC75" s="52"/>
      <c r="WPD75" s="53"/>
      <c r="WPE75" s="54"/>
      <c r="WPF75" s="11"/>
      <c r="WPG75" s="14"/>
      <c r="WPH75" s="113"/>
      <c r="WPI75" s="114"/>
      <c r="WPJ75" s="115"/>
      <c r="WPK75" s="18"/>
      <c r="WPL75" s="52"/>
      <c r="WPM75" s="53"/>
      <c r="WPN75" s="54"/>
      <c r="WPO75" s="11"/>
      <c r="WPP75" s="14"/>
      <c r="WPQ75" s="113"/>
      <c r="WPR75" s="114"/>
      <c r="WPS75" s="115"/>
      <c r="WPT75" s="18"/>
      <c r="WPU75" s="52"/>
      <c r="WPV75" s="53"/>
      <c r="WPW75" s="54"/>
      <c r="WPX75" s="11"/>
      <c r="WPY75" s="14"/>
      <c r="WPZ75" s="113"/>
      <c r="WQA75" s="114"/>
      <c r="WQB75" s="115"/>
      <c r="WQC75" s="18"/>
      <c r="WQD75" s="52"/>
      <c r="WQE75" s="53"/>
      <c r="WQF75" s="54"/>
      <c r="WQG75" s="11"/>
      <c r="WQH75" s="14"/>
      <c r="WQI75" s="113"/>
      <c r="WQJ75" s="114"/>
      <c r="WQK75" s="115"/>
      <c r="WQL75" s="18"/>
      <c r="WQM75" s="52"/>
      <c r="WQN75" s="53"/>
      <c r="WQO75" s="54"/>
      <c r="WQP75" s="11"/>
      <c r="WQQ75" s="14"/>
      <c r="WQR75" s="113"/>
      <c r="WQS75" s="114"/>
      <c r="WQT75" s="115"/>
      <c r="WQU75" s="18"/>
      <c r="WQV75" s="52"/>
      <c r="WQW75" s="53"/>
      <c r="WQX75" s="54"/>
      <c r="WQY75" s="11"/>
      <c r="WQZ75" s="14"/>
      <c r="WRA75" s="113"/>
      <c r="WRB75" s="114"/>
      <c r="WRC75" s="115"/>
      <c r="WRD75" s="18"/>
      <c r="WRE75" s="52"/>
      <c r="WRF75" s="53"/>
      <c r="WRG75" s="54"/>
      <c r="WRH75" s="11"/>
      <c r="WRI75" s="14"/>
      <c r="WRJ75" s="113"/>
      <c r="WRK75" s="114"/>
      <c r="WRL75" s="115"/>
      <c r="WRM75" s="18"/>
      <c r="WRN75" s="52"/>
      <c r="WRO75" s="53"/>
      <c r="WRP75" s="54"/>
      <c r="WRQ75" s="11"/>
      <c r="WRR75" s="14"/>
      <c r="WRS75" s="113"/>
      <c r="WRT75" s="114"/>
      <c r="WRU75" s="115"/>
      <c r="WRV75" s="18"/>
      <c r="WRW75" s="52"/>
      <c r="WRX75" s="53"/>
      <c r="WRY75" s="54"/>
      <c r="WRZ75" s="11"/>
      <c r="WSA75" s="14"/>
      <c r="WSB75" s="113"/>
      <c r="WSC75" s="114"/>
      <c r="WSD75" s="115"/>
      <c r="WSE75" s="18"/>
      <c r="WSF75" s="52"/>
      <c r="WSG75" s="53"/>
      <c r="WSH75" s="54"/>
      <c r="WSI75" s="11"/>
      <c r="WSJ75" s="14"/>
      <c r="WSK75" s="113"/>
      <c r="WSL75" s="114"/>
      <c r="WSM75" s="115"/>
      <c r="WSN75" s="18"/>
      <c r="WSO75" s="52"/>
      <c r="WSP75" s="53"/>
      <c r="WSQ75" s="54"/>
      <c r="WSR75" s="11"/>
      <c r="WSS75" s="14"/>
      <c r="WST75" s="113"/>
      <c r="WSU75" s="114"/>
      <c r="WSV75" s="115"/>
      <c r="WSW75" s="18"/>
      <c r="WSX75" s="52"/>
      <c r="WSY75" s="53"/>
      <c r="WSZ75" s="54"/>
      <c r="WTA75" s="11"/>
      <c r="WTB75" s="14"/>
      <c r="WTC75" s="113"/>
      <c r="WTD75" s="114"/>
      <c r="WTE75" s="115"/>
      <c r="WTF75" s="18"/>
      <c r="WTG75" s="52"/>
      <c r="WTH75" s="53"/>
      <c r="WTI75" s="54"/>
      <c r="WTJ75" s="11"/>
      <c r="WTK75" s="14"/>
      <c r="WTL75" s="113"/>
      <c r="WTM75" s="114"/>
      <c r="WTN75" s="115"/>
      <c r="WTO75" s="18"/>
      <c r="WTP75" s="52"/>
      <c r="WTQ75" s="53"/>
      <c r="WTR75" s="54"/>
      <c r="WTS75" s="11"/>
      <c r="WTT75" s="14"/>
      <c r="WTU75" s="113"/>
      <c r="WTV75" s="114"/>
      <c r="WTW75" s="115"/>
      <c r="WTX75" s="18"/>
      <c r="WTY75" s="52"/>
      <c r="WTZ75" s="53"/>
      <c r="WUA75" s="54"/>
      <c r="WUB75" s="11"/>
      <c r="WUC75" s="14"/>
      <c r="WUD75" s="113"/>
      <c r="WUE75" s="114"/>
      <c r="WUF75" s="115"/>
      <c r="WUG75" s="18"/>
      <c r="WUH75" s="52"/>
      <c r="WUI75" s="53"/>
      <c r="WUJ75" s="54"/>
      <c r="WUK75" s="11"/>
      <c r="WUL75" s="14"/>
      <c r="WUM75" s="113"/>
      <c r="WUN75" s="114"/>
      <c r="WUO75" s="115"/>
      <c r="WUP75" s="18"/>
      <c r="WUQ75" s="52"/>
      <c r="WUR75" s="53"/>
      <c r="WUS75" s="54"/>
      <c r="WUT75" s="11"/>
      <c r="WUU75" s="14"/>
      <c r="WUV75" s="113"/>
      <c r="WUW75" s="114"/>
      <c r="WUX75" s="115"/>
      <c r="WUY75" s="18"/>
      <c r="WUZ75" s="52"/>
      <c r="WVA75" s="53"/>
      <c r="WVB75" s="54"/>
      <c r="WVC75" s="11"/>
      <c r="WVD75" s="14"/>
      <c r="WVE75" s="113"/>
      <c r="WVF75" s="114"/>
      <c r="WVG75" s="115"/>
      <c r="WVH75" s="18"/>
      <c r="WVI75" s="52"/>
      <c r="WVJ75" s="53"/>
      <c r="WVK75" s="54"/>
      <c r="WVL75" s="11"/>
      <c r="WVM75" s="14"/>
      <c r="WVN75" s="113"/>
      <c r="WVO75" s="114"/>
      <c r="WVP75" s="115"/>
      <c r="WVQ75" s="18"/>
      <c r="WVR75" s="52"/>
      <c r="WVS75" s="53"/>
      <c r="WVT75" s="54"/>
      <c r="WVU75" s="11"/>
      <c r="WVV75" s="14"/>
      <c r="WVW75" s="113"/>
      <c r="WVX75" s="114"/>
      <c r="WVY75" s="115"/>
      <c r="WVZ75" s="18"/>
      <c r="WWA75" s="52"/>
      <c r="WWB75" s="53"/>
      <c r="WWC75" s="54"/>
      <c r="WWD75" s="11"/>
      <c r="WWE75" s="14"/>
      <c r="WWF75" s="113"/>
      <c r="WWG75" s="114"/>
      <c r="WWH75" s="115"/>
      <c r="WWI75" s="18"/>
      <c r="WWJ75" s="52"/>
      <c r="WWK75" s="53"/>
      <c r="WWL75" s="54"/>
      <c r="WWM75" s="11"/>
      <c r="WWN75" s="14"/>
      <c r="WWO75" s="113"/>
      <c r="WWP75" s="114"/>
      <c r="WWQ75" s="115"/>
      <c r="WWR75" s="18"/>
      <c r="WWS75" s="52"/>
      <c r="WWT75" s="53"/>
      <c r="WWU75" s="54"/>
      <c r="WWV75" s="11"/>
      <c r="WWW75" s="14"/>
      <c r="WWX75" s="113"/>
      <c r="WWY75" s="114"/>
      <c r="WWZ75" s="115"/>
      <c r="WXA75" s="18"/>
      <c r="WXB75" s="52"/>
      <c r="WXC75" s="53"/>
      <c r="WXD75" s="54"/>
      <c r="WXE75" s="11"/>
      <c r="WXF75" s="14"/>
      <c r="WXG75" s="113"/>
      <c r="WXH75" s="114"/>
      <c r="WXI75" s="115"/>
      <c r="WXJ75" s="18"/>
      <c r="WXK75" s="52"/>
      <c r="WXL75" s="53"/>
      <c r="WXM75" s="54"/>
      <c r="WXN75" s="11"/>
      <c r="WXO75" s="14"/>
      <c r="WXP75" s="113"/>
      <c r="WXQ75" s="114"/>
      <c r="WXR75" s="115"/>
      <c r="WXS75" s="18"/>
      <c r="WXT75" s="52"/>
      <c r="WXU75" s="53"/>
      <c r="WXV75" s="54"/>
      <c r="WXW75" s="11"/>
      <c r="WXX75" s="14"/>
      <c r="WXY75" s="113"/>
      <c r="WXZ75" s="114"/>
      <c r="WYA75" s="115"/>
      <c r="WYB75" s="18"/>
      <c r="WYC75" s="52"/>
      <c r="WYD75" s="53"/>
      <c r="WYE75" s="54"/>
      <c r="WYF75" s="11"/>
      <c r="WYG75" s="14"/>
      <c r="WYH75" s="113"/>
      <c r="WYI75" s="114"/>
      <c r="WYJ75" s="115"/>
      <c r="WYK75" s="18"/>
      <c r="WYL75" s="52"/>
      <c r="WYM75" s="53"/>
      <c r="WYN75" s="54"/>
      <c r="WYO75" s="11"/>
      <c r="WYP75" s="14"/>
      <c r="WYQ75" s="113"/>
      <c r="WYR75" s="114"/>
      <c r="WYS75" s="115"/>
      <c r="WYT75" s="18"/>
      <c r="WYU75" s="52"/>
      <c r="WYV75" s="53"/>
      <c r="WYW75" s="54"/>
      <c r="WYX75" s="11"/>
      <c r="WYY75" s="14"/>
      <c r="WYZ75" s="113"/>
      <c r="WZA75" s="114"/>
      <c r="WZB75" s="115"/>
      <c r="WZC75" s="18"/>
      <c r="WZD75" s="52"/>
      <c r="WZE75" s="53"/>
      <c r="WZF75" s="54"/>
      <c r="WZG75" s="11"/>
      <c r="WZH75" s="14"/>
      <c r="WZI75" s="113"/>
      <c r="WZJ75" s="114"/>
      <c r="WZK75" s="115"/>
      <c r="WZL75" s="18"/>
      <c r="WZM75" s="52"/>
      <c r="WZN75" s="53"/>
      <c r="WZO75" s="54"/>
      <c r="WZP75" s="11"/>
      <c r="WZQ75" s="14"/>
      <c r="WZR75" s="113"/>
      <c r="WZS75" s="114"/>
      <c r="WZT75" s="115"/>
      <c r="WZU75" s="18"/>
      <c r="WZV75" s="52"/>
      <c r="WZW75" s="53"/>
      <c r="WZX75" s="54"/>
      <c r="WZY75" s="11"/>
      <c r="WZZ75" s="14"/>
      <c r="XAA75" s="113"/>
      <c r="XAB75" s="114"/>
      <c r="XAC75" s="115"/>
      <c r="XAD75" s="18"/>
      <c r="XAE75" s="52"/>
      <c r="XAF75" s="53"/>
      <c r="XAG75" s="54"/>
      <c r="XAH75" s="11"/>
      <c r="XAI75" s="14"/>
      <c r="XAJ75" s="113"/>
      <c r="XAK75" s="114"/>
      <c r="XAL75" s="115"/>
      <c r="XAM75" s="18"/>
      <c r="XAN75" s="52"/>
      <c r="XAO75" s="53"/>
      <c r="XAP75" s="54"/>
      <c r="XAQ75" s="11"/>
      <c r="XAR75" s="14"/>
      <c r="XAS75" s="113"/>
      <c r="XAT75" s="114"/>
      <c r="XAU75" s="115"/>
      <c r="XAV75" s="18"/>
      <c r="XAW75" s="52"/>
      <c r="XAX75" s="53"/>
      <c r="XAY75" s="54"/>
      <c r="XAZ75" s="11"/>
      <c r="XBA75" s="14"/>
      <c r="XBB75" s="113"/>
      <c r="XBC75" s="114"/>
      <c r="XBD75" s="115"/>
      <c r="XBE75" s="18"/>
      <c r="XBF75" s="52"/>
      <c r="XBG75" s="53"/>
      <c r="XBH75" s="54"/>
      <c r="XBI75" s="11"/>
      <c r="XBJ75" s="14"/>
      <c r="XBK75" s="113"/>
      <c r="XBL75" s="114"/>
      <c r="XBM75" s="115"/>
      <c r="XBN75" s="18"/>
      <c r="XBO75" s="52"/>
      <c r="XBP75" s="53"/>
      <c r="XBQ75" s="54"/>
      <c r="XBR75" s="11"/>
      <c r="XBS75" s="14"/>
      <c r="XBT75" s="113"/>
      <c r="XBU75" s="114"/>
      <c r="XBV75" s="115"/>
      <c r="XBW75" s="18"/>
      <c r="XBX75" s="52"/>
      <c r="XBY75" s="53"/>
      <c r="XBZ75" s="54"/>
      <c r="XCA75" s="11"/>
      <c r="XCB75" s="14"/>
      <c r="XCC75" s="113"/>
      <c r="XCD75" s="114"/>
      <c r="XCE75" s="115"/>
      <c r="XCF75" s="18"/>
      <c r="XCG75" s="52"/>
      <c r="XCH75" s="53"/>
      <c r="XCI75" s="54"/>
      <c r="XCJ75" s="11"/>
      <c r="XCK75" s="14"/>
      <c r="XCL75" s="113"/>
      <c r="XCM75" s="114"/>
      <c r="XCN75" s="115"/>
      <c r="XCO75" s="18"/>
      <c r="XCP75" s="52"/>
      <c r="XCQ75" s="53"/>
      <c r="XCR75" s="54"/>
      <c r="XCS75" s="11"/>
      <c r="XCT75" s="14"/>
      <c r="XCU75" s="113"/>
      <c r="XCV75" s="114"/>
      <c r="XCW75" s="115"/>
      <c r="XCX75" s="18"/>
      <c r="XCY75" s="52"/>
      <c r="XCZ75" s="53"/>
      <c r="XDA75" s="54"/>
      <c r="XDB75" s="11"/>
      <c r="XDC75" s="14"/>
      <c r="XDD75" s="113"/>
      <c r="XDE75" s="114"/>
      <c r="XDF75" s="115"/>
      <c r="XDG75" s="18"/>
      <c r="XDH75" s="52"/>
      <c r="XDI75" s="53"/>
      <c r="XDJ75" s="54"/>
      <c r="XDK75" s="11"/>
      <c r="XDL75" s="14"/>
      <c r="XDM75" s="113"/>
      <c r="XDN75" s="114"/>
      <c r="XDO75" s="115"/>
      <c r="XDP75" s="18"/>
      <c r="XDQ75" s="52"/>
      <c r="XDR75" s="53"/>
      <c r="XDS75" s="54"/>
      <c r="XDT75" s="11"/>
      <c r="XDU75" s="14"/>
      <c r="XDV75" s="113"/>
      <c r="XDW75" s="114"/>
      <c r="XDX75" s="115"/>
      <c r="XDY75" s="18"/>
      <c r="XDZ75" s="52"/>
      <c r="XEA75" s="53"/>
      <c r="XEB75" s="54"/>
      <c r="XEC75" s="11"/>
      <c r="XED75" s="14"/>
      <c r="XEE75" s="113"/>
      <c r="XEF75" s="114"/>
      <c r="XEG75" s="115"/>
      <c r="XEH75" s="18"/>
      <c r="XEI75" s="52"/>
      <c r="XEJ75" s="53"/>
      <c r="XEK75" s="54"/>
      <c r="XEL75" s="11"/>
      <c r="XEM75" s="14"/>
      <c r="XEN75" s="113"/>
      <c r="XEO75" s="114"/>
      <c r="XEP75" s="115"/>
      <c r="XEQ75" s="18"/>
      <c r="XER75" s="52"/>
      <c r="XES75" s="53"/>
      <c r="XET75" s="54"/>
      <c r="XEU75" s="11"/>
      <c r="XEV75" s="14"/>
      <c r="XEW75" s="113"/>
      <c r="XEX75" s="114"/>
      <c r="XEY75" s="115"/>
      <c r="XEZ75" s="18"/>
      <c r="XFA75" s="52"/>
      <c r="XFB75" s="53"/>
      <c r="XFC75" s="54"/>
      <c r="XFD75" s="11"/>
    </row>
    <row r="76" spans="1:16384" ht="15.75" thickBot="1" x14ac:dyDescent="0.3">
      <c r="A76" s="67" t="s">
        <v>6</v>
      </c>
      <c r="B76" s="68"/>
      <c r="C76" s="69"/>
      <c r="D76" s="4">
        <f>SUM(D5:D74)</f>
        <v>0</v>
      </c>
      <c r="E76" s="15">
        <f>SUM(E5:E74)</f>
        <v>0</v>
      </c>
      <c r="F76" s="113"/>
      <c r="G76" s="114"/>
      <c r="H76" s="115"/>
      <c r="I76" s="18"/>
    </row>
    <row r="77" spans="1:16384" ht="15.75" thickBot="1" x14ac:dyDescent="0.3">
      <c r="F77" s="113" t="s">
        <v>6</v>
      </c>
      <c r="G77" s="114"/>
      <c r="H77" s="115"/>
      <c r="I77" s="16">
        <f>SUM(I5:I76)</f>
        <v>12156241</v>
      </c>
    </row>
  </sheetData>
  <mergeCells count="3784">
    <mergeCell ref="XER75:XET75"/>
    <mergeCell ref="XEW75:XEY75"/>
    <mergeCell ref="XFA75:XFC75"/>
    <mergeCell ref="XDD75:XDF75"/>
    <mergeCell ref="XDH75:XDJ75"/>
    <mergeCell ref="XDM75:XDO75"/>
    <mergeCell ref="XDQ75:XDS75"/>
    <mergeCell ref="XDV75:XDX75"/>
    <mergeCell ref="XDZ75:XEB75"/>
    <mergeCell ref="XEE75:XEG75"/>
    <mergeCell ref="XEI75:XEK75"/>
    <mergeCell ref="XEN75:XEP75"/>
    <mergeCell ref="XBO75:XBQ75"/>
    <mergeCell ref="XBT75:XBV75"/>
    <mergeCell ref="XBX75:XBZ75"/>
    <mergeCell ref="XCC75:XCE75"/>
    <mergeCell ref="XCG75:XCI75"/>
    <mergeCell ref="XCL75:XCN75"/>
    <mergeCell ref="XCP75:XCR75"/>
    <mergeCell ref="XCU75:XCW75"/>
    <mergeCell ref="XCY75:XDA75"/>
    <mergeCell ref="XAA75:XAC75"/>
    <mergeCell ref="XAE75:XAG75"/>
    <mergeCell ref="XAJ75:XAL75"/>
    <mergeCell ref="XAN75:XAP75"/>
    <mergeCell ref="XAS75:XAU75"/>
    <mergeCell ref="XAW75:XAY75"/>
    <mergeCell ref="XBB75:XBD75"/>
    <mergeCell ref="XBF75:XBH75"/>
    <mergeCell ref="XBK75:XBM75"/>
    <mergeCell ref="WYL75:WYN75"/>
    <mergeCell ref="WYQ75:WYS75"/>
    <mergeCell ref="WYU75:WYW75"/>
    <mergeCell ref="WYZ75:WZB75"/>
    <mergeCell ref="WZD75:WZF75"/>
    <mergeCell ref="WZI75:WZK75"/>
    <mergeCell ref="WZM75:WZO75"/>
    <mergeCell ref="WZR75:WZT75"/>
    <mergeCell ref="WZV75:WZX75"/>
    <mergeCell ref="WWX75:WWZ75"/>
    <mergeCell ref="WXB75:WXD75"/>
    <mergeCell ref="WXG75:WXI75"/>
    <mergeCell ref="WXK75:WXM75"/>
    <mergeCell ref="WXP75:WXR75"/>
    <mergeCell ref="WXT75:WXV75"/>
    <mergeCell ref="WXY75:WYA75"/>
    <mergeCell ref="WYC75:WYE75"/>
    <mergeCell ref="WYH75:WYJ75"/>
    <mergeCell ref="WVI75:WVK75"/>
    <mergeCell ref="WVN75:WVP75"/>
    <mergeCell ref="WVR75:WVT75"/>
    <mergeCell ref="WVW75:WVY75"/>
    <mergeCell ref="WWA75:WWC75"/>
    <mergeCell ref="WWF75:WWH75"/>
    <mergeCell ref="WWJ75:WWL75"/>
    <mergeCell ref="WWO75:WWQ75"/>
    <mergeCell ref="WWS75:WWU75"/>
    <mergeCell ref="WTU75:WTW75"/>
    <mergeCell ref="WTY75:WUA75"/>
    <mergeCell ref="WUD75:WUF75"/>
    <mergeCell ref="WUH75:WUJ75"/>
    <mergeCell ref="WUM75:WUO75"/>
    <mergeCell ref="WUQ75:WUS75"/>
    <mergeCell ref="WUV75:WUX75"/>
    <mergeCell ref="WUZ75:WVB75"/>
    <mergeCell ref="WVE75:WVG75"/>
    <mergeCell ref="WSF75:WSH75"/>
    <mergeCell ref="WSK75:WSM75"/>
    <mergeCell ref="WSO75:WSQ75"/>
    <mergeCell ref="WST75:WSV75"/>
    <mergeCell ref="WSX75:WSZ75"/>
    <mergeCell ref="WTC75:WTE75"/>
    <mergeCell ref="WTG75:WTI75"/>
    <mergeCell ref="WTL75:WTN75"/>
    <mergeCell ref="WTP75:WTR75"/>
    <mergeCell ref="WQR75:WQT75"/>
    <mergeCell ref="WQV75:WQX75"/>
    <mergeCell ref="WRA75:WRC75"/>
    <mergeCell ref="WRE75:WRG75"/>
    <mergeCell ref="WRJ75:WRL75"/>
    <mergeCell ref="WRN75:WRP75"/>
    <mergeCell ref="WRS75:WRU75"/>
    <mergeCell ref="WRW75:WRY75"/>
    <mergeCell ref="WSB75:WSD75"/>
    <mergeCell ref="WPC75:WPE75"/>
    <mergeCell ref="WPH75:WPJ75"/>
    <mergeCell ref="WPL75:WPN75"/>
    <mergeCell ref="WPQ75:WPS75"/>
    <mergeCell ref="WPU75:WPW75"/>
    <mergeCell ref="WPZ75:WQB75"/>
    <mergeCell ref="WQD75:WQF75"/>
    <mergeCell ref="WQI75:WQK75"/>
    <mergeCell ref="WQM75:WQO75"/>
    <mergeCell ref="WNO75:WNQ75"/>
    <mergeCell ref="WNS75:WNU75"/>
    <mergeCell ref="WNX75:WNZ75"/>
    <mergeCell ref="WOB75:WOD75"/>
    <mergeCell ref="WOG75:WOI75"/>
    <mergeCell ref="WOK75:WOM75"/>
    <mergeCell ref="WOP75:WOR75"/>
    <mergeCell ref="WOT75:WOV75"/>
    <mergeCell ref="WOY75:WPA75"/>
    <mergeCell ref="WLZ75:WMB75"/>
    <mergeCell ref="WME75:WMG75"/>
    <mergeCell ref="WMI75:WMK75"/>
    <mergeCell ref="WMN75:WMP75"/>
    <mergeCell ref="WMR75:WMT75"/>
    <mergeCell ref="WMW75:WMY75"/>
    <mergeCell ref="WNA75:WNC75"/>
    <mergeCell ref="WNF75:WNH75"/>
    <mergeCell ref="WNJ75:WNL75"/>
    <mergeCell ref="WKL75:WKN75"/>
    <mergeCell ref="WKP75:WKR75"/>
    <mergeCell ref="WKU75:WKW75"/>
    <mergeCell ref="WKY75:WLA75"/>
    <mergeCell ref="WLD75:WLF75"/>
    <mergeCell ref="WLH75:WLJ75"/>
    <mergeCell ref="WLM75:WLO75"/>
    <mergeCell ref="WLQ75:WLS75"/>
    <mergeCell ref="WLV75:WLX75"/>
    <mergeCell ref="WIW75:WIY75"/>
    <mergeCell ref="WJB75:WJD75"/>
    <mergeCell ref="WJF75:WJH75"/>
    <mergeCell ref="WJK75:WJM75"/>
    <mergeCell ref="WJO75:WJQ75"/>
    <mergeCell ref="WJT75:WJV75"/>
    <mergeCell ref="WJX75:WJZ75"/>
    <mergeCell ref="WKC75:WKE75"/>
    <mergeCell ref="WKG75:WKI75"/>
    <mergeCell ref="WHI75:WHK75"/>
    <mergeCell ref="WHM75:WHO75"/>
    <mergeCell ref="WHR75:WHT75"/>
    <mergeCell ref="WHV75:WHX75"/>
    <mergeCell ref="WIA75:WIC75"/>
    <mergeCell ref="WIE75:WIG75"/>
    <mergeCell ref="WIJ75:WIL75"/>
    <mergeCell ref="WIN75:WIP75"/>
    <mergeCell ref="WIS75:WIU75"/>
    <mergeCell ref="WFT75:WFV75"/>
    <mergeCell ref="WFY75:WGA75"/>
    <mergeCell ref="WGC75:WGE75"/>
    <mergeCell ref="WGH75:WGJ75"/>
    <mergeCell ref="WGL75:WGN75"/>
    <mergeCell ref="WGQ75:WGS75"/>
    <mergeCell ref="WGU75:WGW75"/>
    <mergeCell ref="WGZ75:WHB75"/>
    <mergeCell ref="WHD75:WHF75"/>
    <mergeCell ref="WEF75:WEH75"/>
    <mergeCell ref="WEJ75:WEL75"/>
    <mergeCell ref="WEO75:WEQ75"/>
    <mergeCell ref="WES75:WEU75"/>
    <mergeCell ref="WEX75:WEZ75"/>
    <mergeCell ref="WFB75:WFD75"/>
    <mergeCell ref="WFG75:WFI75"/>
    <mergeCell ref="WFK75:WFM75"/>
    <mergeCell ref="WFP75:WFR75"/>
    <mergeCell ref="WCQ75:WCS75"/>
    <mergeCell ref="WCV75:WCX75"/>
    <mergeCell ref="WCZ75:WDB75"/>
    <mergeCell ref="WDE75:WDG75"/>
    <mergeCell ref="WDI75:WDK75"/>
    <mergeCell ref="WDN75:WDP75"/>
    <mergeCell ref="WDR75:WDT75"/>
    <mergeCell ref="WDW75:WDY75"/>
    <mergeCell ref="WEA75:WEC75"/>
    <mergeCell ref="WBC75:WBE75"/>
    <mergeCell ref="WBG75:WBI75"/>
    <mergeCell ref="WBL75:WBN75"/>
    <mergeCell ref="WBP75:WBR75"/>
    <mergeCell ref="WBU75:WBW75"/>
    <mergeCell ref="WBY75:WCA75"/>
    <mergeCell ref="WCD75:WCF75"/>
    <mergeCell ref="WCH75:WCJ75"/>
    <mergeCell ref="WCM75:WCO75"/>
    <mergeCell ref="VZN75:VZP75"/>
    <mergeCell ref="VZS75:VZU75"/>
    <mergeCell ref="VZW75:VZY75"/>
    <mergeCell ref="WAB75:WAD75"/>
    <mergeCell ref="WAF75:WAH75"/>
    <mergeCell ref="WAK75:WAM75"/>
    <mergeCell ref="WAO75:WAQ75"/>
    <mergeCell ref="WAT75:WAV75"/>
    <mergeCell ref="WAX75:WAZ75"/>
    <mergeCell ref="VXZ75:VYB75"/>
    <mergeCell ref="VYD75:VYF75"/>
    <mergeCell ref="VYI75:VYK75"/>
    <mergeCell ref="VYM75:VYO75"/>
    <mergeCell ref="VYR75:VYT75"/>
    <mergeCell ref="VYV75:VYX75"/>
    <mergeCell ref="VZA75:VZC75"/>
    <mergeCell ref="VZE75:VZG75"/>
    <mergeCell ref="VZJ75:VZL75"/>
    <mergeCell ref="VWK75:VWM75"/>
    <mergeCell ref="VWP75:VWR75"/>
    <mergeCell ref="VWT75:VWV75"/>
    <mergeCell ref="VWY75:VXA75"/>
    <mergeCell ref="VXC75:VXE75"/>
    <mergeCell ref="VXH75:VXJ75"/>
    <mergeCell ref="VXL75:VXN75"/>
    <mergeCell ref="VXQ75:VXS75"/>
    <mergeCell ref="VXU75:VXW75"/>
    <mergeCell ref="VUW75:VUY75"/>
    <mergeCell ref="VVA75:VVC75"/>
    <mergeCell ref="VVF75:VVH75"/>
    <mergeCell ref="VVJ75:VVL75"/>
    <mergeCell ref="VVO75:VVQ75"/>
    <mergeCell ref="VVS75:VVU75"/>
    <mergeCell ref="VVX75:VVZ75"/>
    <mergeCell ref="VWB75:VWD75"/>
    <mergeCell ref="VWG75:VWI75"/>
    <mergeCell ref="VTH75:VTJ75"/>
    <mergeCell ref="VTM75:VTO75"/>
    <mergeCell ref="VTQ75:VTS75"/>
    <mergeCell ref="VTV75:VTX75"/>
    <mergeCell ref="VTZ75:VUB75"/>
    <mergeCell ref="VUE75:VUG75"/>
    <mergeCell ref="VUI75:VUK75"/>
    <mergeCell ref="VUN75:VUP75"/>
    <mergeCell ref="VUR75:VUT75"/>
    <mergeCell ref="VRT75:VRV75"/>
    <mergeCell ref="VRX75:VRZ75"/>
    <mergeCell ref="VSC75:VSE75"/>
    <mergeCell ref="VSG75:VSI75"/>
    <mergeCell ref="VSL75:VSN75"/>
    <mergeCell ref="VSP75:VSR75"/>
    <mergeCell ref="VSU75:VSW75"/>
    <mergeCell ref="VSY75:VTA75"/>
    <mergeCell ref="VTD75:VTF75"/>
    <mergeCell ref="VQE75:VQG75"/>
    <mergeCell ref="VQJ75:VQL75"/>
    <mergeCell ref="VQN75:VQP75"/>
    <mergeCell ref="VQS75:VQU75"/>
    <mergeCell ref="VQW75:VQY75"/>
    <mergeCell ref="VRB75:VRD75"/>
    <mergeCell ref="VRF75:VRH75"/>
    <mergeCell ref="VRK75:VRM75"/>
    <mergeCell ref="VRO75:VRQ75"/>
    <mergeCell ref="VOQ75:VOS75"/>
    <mergeCell ref="VOU75:VOW75"/>
    <mergeCell ref="VOZ75:VPB75"/>
    <mergeCell ref="VPD75:VPF75"/>
    <mergeCell ref="VPI75:VPK75"/>
    <mergeCell ref="VPM75:VPO75"/>
    <mergeCell ref="VPR75:VPT75"/>
    <mergeCell ref="VPV75:VPX75"/>
    <mergeCell ref="VQA75:VQC75"/>
    <mergeCell ref="VNB75:VND75"/>
    <mergeCell ref="VNG75:VNI75"/>
    <mergeCell ref="VNK75:VNM75"/>
    <mergeCell ref="VNP75:VNR75"/>
    <mergeCell ref="VNT75:VNV75"/>
    <mergeCell ref="VNY75:VOA75"/>
    <mergeCell ref="VOC75:VOE75"/>
    <mergeCell ref="VOH75:VOJ75"/>
    <mergeCell ref="VOL75:VON75"/>
    <mergeCell ref="VLN75:VLP75"/>
    <mergeCell ref="VLR75:VLT75"/>
    <mergeCell ref="VLW75:VLY75"/>
    <mergeCell ref="VMA75:VMC75"/>
    <mergeCell ref="VMF75:VMH75"/>
    <mergeCell ref="VMJ75:VML75"/>
    <mergeCell ref="VMO75:VMQ75"/>
    <mergeCell ref="VMS75:VMU75"/>
    <mergeCell ref="VMX75:VMZ75"/>
    <mergeCell ref="VJY75:VKA75"/>
    <mergeCell ref="VKD75:VKF75"/>
    <mergeCell ref="VKH75:VKJ75"/>
    <mergeCell ref="VKM75:VKO75"/>
    <mergeCell ref="VKQ75:VKS75"/>
    <mergeCell ref="VKV75:VKX75"/>
    <mergeCell ref="VKZ75:VLB75"/>
    <mergeCell ref="VLE75:VLG75"/>
    <mergeCell ref="VLI75:VLK75"/>
    <mergeCell ref="VIK75:VIM75"/>
    <mergeCell ref="VIO75:VIQ75"/>
    <mergeCell ref="VIT75:VIV75"/>
    <mergeCell ref="VIX75:VIZ75"/>
    <mergeCell ref="VJC75:VJE75"/>
    <mergeCell ref="VJG75:VJI75"/>
    <mergeCell ref="VJL75:VJN75"/>
    <mergeCell ref="VJP75:VJR75"/>
    <mergeCell ref="VJU75:VJW75"/>
    <mergeCell ref="VGV75:VGX75"/>
    <mergeCell ref="VHA75:VHC75"/>
    <mergeCell ref="VHE75:VHG75"/>
    <mergeCell ref="VHJ75:VHL75"/>
    <mergeCell ref="VHN75:VHP75"/>
    <mergeCell ref="VHS75:VHU75"/>
    <mergeCell ref="VHW75:VHY75"/>
    <mergeCell ref="VIB75:VID75"/>
    <mergeCell ref="VIF75:VIH75"/>
    <mergeCell ref="VFH75:VFJ75"/>
    <mergeCell ref="VFL75:VFN75"/>
    <mergeCell ref="VFQ75:VFS75"/>
    <mergeCell ref="VFU75:VFW75"/>
    <mergeCell ref="VFZ75:VGB75"/>
    <mergeCell ref="VGD75:VGF75"/>
    <mergeCell ref="VGI75:VGK75"/>
    <mergeCell ref="VGM75:VGO75"/>
    <mergeCell ref="VGR75:VGT75"/>
    <mergeCell ref="VDS75:VDU75"/>
    <mergeCell ref="VDX75:VDZ75"/>
    <mergeCell ref="VEB75:VED75"/>
    <mergeCell ref="VEG75:VEI75"/>
    <mergeCell ref="VEK75:VEM75"/>
    <mergeCell ref="VEP75:VER75"/>
    <mergeCell ref="VET75:VEV75"/>
    <mergeCell ref="VEY75:VFA75"/>
    <mergeCell ref="VFC75:VFE75"/>
    <mergeCell ref="VCE75:VCG75"/>
    <mergeCell ref="VCI75:VCK75"/>
    <mergeCell ref="VCN75:VCP75"/>
    <mergeCell ref="VCR75:VCT75"/>
    <mergeCell ref="VCW75:VCY75"/>
    <mergeCell ref="VDA75:VDC75"/>
    <mergeCell ref="VDF75:VDH75"/>
    <mergeCell ref="VDJ75:VDL75"/>
    <mergeCell ref="VDO75:VDQ75"/>
    <mergeCell ref="VAP75:VAR75"/>
    <mergeCell ref="VAU75:VAW75"/>
    <mergeCell ref="VAY75:VBA75"/>
    <mergeCell ref="VBD75:VBF75"/>
    <mergeCell ref="VBH75:VBJ75"/>
    <mergeCell ref="VBM75:VBO75"/>
    <mergeCell ref="VBQ75:VBS75"/>
    <mergeCell ref="VBV75:VBX75"/>
    <mergeCell ref="VBZ75:VCB75"/>
    <mergeCell ref="UZB75:UZD75"/>
    <mergeCell ref="UZF75:UZH75"/>
    <mergeCell ref="UZK75:UZM75"/>
    <mergeCell ref="UZO75:UZQ75"/>
    <mergeCell ref="UZT75:UZV75"/>
    <mergeCell ref="UZX75:UZZ75"/>
    <mergeCell ref="VAC75:VAE75"/>
    <mergeCell ref="VAG75:VAI75"/>
    <mergeCell ref="VAL75:VAN75"/>
    <mergeCell ref="UXM75:UXO75"/>
    <mergeCell ref="UXR75:UXT75"/>
    <mergeCell ref="UXV75:UXX75"/>
    <mergeCell ref="UYA75:UYC75"/>
    <mergeCell ref="UYE75:UYG75"/>
    <mergeCell ref="UYJ75:UYL75"/>
    <mergeCell ref="UYN75:UYP75"/>
    <mergeCell ref="UYS75:UYU75"/>
    <mergeCell ref="UYW75:UYY75"/>
    <mergeCell ref="UVY75:UWA75"/>
    <mergeCell ref="UWC75:UWE75"/>
    <mergeCell ref="UWH75:UWJ75"/>
    <mergeCell ref="UWL75:UWN75"/>
    <mergeCell ref="UWQ75:UWS75"/>
    <mergeCell ref="UWU75:UWW75"/>
    <mergeCell ref="UWZ75:UXB75"/>
    <mergeCell ref="UXD75:UXF75"/>
    <mergeCell ref="UXI75:UXK75"/>
    <mergeCell ref="UUJ75:UUL75"/>
    <mergeCell ref="UUO75:UUQ75"/>
    <mergeCell ref="UUS75:UUU75"/>
    <mergeCell ref="UUX75:UUZ75"/>
    <mergeCell ref="UVB75:UVD75"/>
    <mergeCell ref="UVG75:UVI75"/>
    <mergeCell ref="UVK75:UVM75"/>
    <mergeCell ref="UVP75:UVR75"/>
    <mergeCell ref="UVT75:UVV75"/>
    <mergeCell ref="USV75:USX75"/>
    <mergeCell ref="USZ75:UTB75"/>
    <mergeCell ref="UTE75:UTG75"/>
    <mergeCell ref="UTI75:UTK75"/>
    <mergeCell ref="UTN75:UTP75"/>
    <mergeCell ref="UTR75:UTT75"/>
    <mergeCell ref="UTW75:UTY75"/>
    <mergeCell ref="UUA75:UUC75"/>
    <mergeCell ref="UUF75:UUH75"/>
    <mergeCell ref="URG75:URI75"/>
    <mergeCell ref="URL75:URN75"/>
    <mergeCell ref="URP75:URR75"/>
    <mergeCell ref="URU75:URW75"/>
    <mergeCell ref="URY75:USA75"/>
    <mergeCell ref="USD75:USF75"/>
    <mergeCell ref="USH75:USJ75"/>
    <mergeCell ref="USM75:USO75"/>
    <mergeCell ref="USQ75:USS75"/>
    <mergeCell ref="UPS75:UPU75"/>
    <mergeCell ref="UPW75:UPY75"/>
    <mergeCell ref="UQB75:UQD75"/>
    <mergeCell ref="UQF75:UQH75"/>
    <mergeCell ref="UQK75:UQM75"/>
    <mergeCell ref="UQO75:UQQ75"/>
    <mergeCell ref="UQT75:UQV75"/>
    <mergeCell ref="UQX75:UQZ75"/>
    <mergeCell ref="URC75:URE75"/>
    <mergeCell ref="UOD75:UOF75"/>
    <mergeCell ref="UOI75:UOK75"/>
    <mergeCell ref="UOM75:UOO75"/>
    <mergeCell ref="UOR75:UOT75"/>
    <mergeCell ref="UOV75:UOX75"/>
    <mergeCell ref="UPA75:UPC75"/>
    <mergeCell ref="UPE75:UPG75"/>
    <mergeCell ref="UPJ75:UPL75"/>
    <mergeCell ref="UPN75:UPP75"/>
    <mergeCell ref="UMP75:UMR75"/>
    <mergeCell ref="UMT75:UMV75"/>
    <mergeCell ref="UMY75:UNA75"/>
    <mergeCell ref="UNC75:UNE75"/>
    <mergeCell ref="UNH75:UNJ75"/>
    <mergeCell ref="UNL75:UNN75"/>
    <mergeCell ref="UNQ75:UNS75"/>
    <mergeCell ref="UNU75:UNW75"/>
    <mergeCell ref="UNZ75:UOB75"/>
    <mergeCell ref="ULA75:ULC75"/>
    <mergeCell ref="ULF75:ULH75"/>
    <mergeCell ref="ULJ75:ULL75"/>
    <mergeCell ref="ULO75:ULQ75"/>
    <mergeCell ref="ULS75:ULU75"/>
    <mergeCell ref="ULX75:ULZ75"/>
    <mergeCell ref="UMB75:UMD75"/>
    <mergeCell ref="UMG75:UMI75"/>
    <mergeCell ref="UMK75:UMM75"/>
    <mergeCell ref="UJM75:UJO75"/>
    <mergeCell ref="UJQ75:UJS75"/>
    <mergeCell ref="UJV75:UJX75"/>
    <mergeCell ref="UJZ75:UKB75"/>
    <mergeCell ref="UKE75:UKG75"/>
    <mergeCell ref="UKI75:UKK75"/>
    <mergeCell ref="UKN75:UKP75"/>
    <mergeCell ref="UKR75:UKT75"/>
    <mergeCell ref="UKW75:UKY75"/>
    <mergeCell ref="UHX75:UHZ75"/>
    <mergeCell ref="UIC75:UIE75"/>
    <mergeCell ref="UIG75:UII75"/>
    <mergeCell ref="UIL75:UIN75"/>
    <mergeCell ref="UIP75:UIR75"/>
    <mergeCell ref="UIU75:UIW75"/>
    <mergeCell ref="UIY75:UJA75"/>
    <mergeCell ref="UJD75:UJF75"/>
    <mergeCell ref="UJH75:UJJ75"/>
    <mergeCell ref="UGJ75:UGL75"/>
    <mergeCell ref="UGN75:UGP75"/>
    <mergeCell ref="UGS75:UGU75"/>
    <mergeCell ref="UGW75:UGY75"/>
    <mergeCell ref="UHB75:UHD75"/>
    <mergeCell ref="UHF75:UHH75"/>
    <mergeCell ref="UHK75:UHM75"/>
    <mergeCell ref="UHO75:UHQ75"/>
    <mergeCell ref="UHT75:UHV75"/>
    <mergeCell ref="UEU75:UEW75"/>
    <mergeCell ref="UEZ75:UFB75"/>
    <mergeCell ref="UFD75:UFF75"/>
    <mergeCell ref="UFI75:UFK75"/>
    <mergeCell ref="UFM75:UFO75"/>
    <mergeCell ref="UFR75:UFT75"/>
    <mergeCell ref="UFV75:UFX75"/>
    <mergeCell ref="UGA75:UGC75"/>
    <mergeCell ref="UGE75:UGG75"/>
    <mergeCell ref="UDG75:UDI75"/>
    <mergeCell ref="UDK75:UDM75"/>
    <mergeCell ref="UDP75:UDR75"/>
    <mergeCell ref="UDT75:UDV75"/>
    <mergeCell ref="UDY75:UEA75"/>
    <mergeCell ref="UEC75:UEE75"/>
    <mergeCell ref="UEH75:UEJ75"/>
    <mergeCell ref="UEL75:UEN75"/>
    <mergeCell ref="UEQ75:UES75"/>
    <mergeCell ref="UBR75:UBT75"/>
    <mergeCell ref="UBW75:UBY75"/>
    <mergeCell ref="UCA75:UCC75"/>
    <mergeCell ref="UCF75:UCH75"/>
    <mergeCell ref="UCJ75:UCL75"/>
    <mergeCell ref="UCO75:UCQ75"/>
    <mergeCell ref="UCS75:UCU75"/>
    <mergeCell ref="UCX75:UCZ75"/>
    <mergeCell ref="UDB75:UDD75"/>
    <mergeCell ref="UAD75:UAF75"/>
    <mergeCell ref="UAH75:UAJ75"/>
    <mergeCell ref="UAM75:UAO75"/>
    <mergeCell ref="UAQ75:UAS75"/>
    <mergeCell ref="UAV75:UAX75"/>
    <mergeCell ref="UAZ75:UBB75"/>
    <mergeCell ref="UBE75:UBG75"/>
    <mergeCell ref="UBI75:UBK75"/>
    <mergeCell ref="UBN75:UBP75"/>
    <mergeCell ref="TYO75:TYQ75"/>
    <mergeCell ref="TYT75:TYV75"/>
    <mergeCell ref="TYX75:TYZ75"/>
    <mergeCell ref="TZC75:TZE75"/>
    <mergeCell ref="TZG75:TZI75"/>
    <mergeCell ref="TZL75:TZN75"/>
    <mergeCell ref="TZP75:TZR75"/>
    <mergeCell ref="TZU75:TZW75"/>
    <mergeCell ref="TZY75:UAA75"/>
    <mergeCell ref="TXA75:TXC75"/>
    <mergeCell ref="TXE75:TXG75"/>
    <mergeCell ref="TXJ75:TXL75"/>
    <mergeCell ref="TXN75:TXP75"/>
    <mergeCell ref="TXS75:TXU75"/>
    <mergeCell ref="TXW75:TXY75"/>
    <mergeCell ref="TYB75:TYD75"/>
    <mergeCell ref="TYF75:TYH75"/>
    <mergeCell ref="TYK75:TYM75"/>
    <mergeCell ref="TVL75:TVN75"/>
    <mergeCell ref="TVQ75:TVS75"/>
    <mergeCell ref="TVU75:TVW75"/>
    <mergeCell ref="TVZ75:TWB75"/>
    <mergeCell ref="TWD75:TWF75"/>
    <mergeCell ref="TWI75:TWK75"/>
    <mergeCell ref="TWM75:TWO75"/>
    <mergeCell ref="TWR75:TWT75"/>
    <mergeCell ref="TWV75:TWX75"/>
    <mergeCell ref="TTX75:TTZ75"/>
    <mergeCell ref="TUB75:TUD75"/>
    <mergeCell ref="TUG75:TUI75"/>
    <mergeCell ref="TUK75:TUM75"/>
    <mergeCell ref="TUP75:TUR75"/>
    <mergeCell ref="TUT75:TUV75"/>
    <mergeCell ref="TUY75:TVA75"/>
    <mergeCell ref="TVC75:TVE75"/>
    <mergeCell ref="TVH75:TVJ75"/>
    <mergeCell ref="TSI75:TSK75"/>
    <mergeCell ref="TSN75:TSP75"/>
    <mergeCell ref="TSR75:TST75"/>
    <mergeCell ref="TSW75:TSY75"/>
    <mergeCell ref="TTA75:TTC75"/>
    <mergeCell ref="TTF75:TTH75"/>
    <mergeCell ref="TTJ75:TTL75"/>
    <mergeCell ref="TTO75:TTQ75"/>
    <mergeCell ref="TTS75:TTU75"/>
    <mergeCell ref="TQU75:TQW75"/>
    <mergeCell ref="TQY75:TRA75"/>
    <mergeCell ref="TRD75:TRF75"/>
    <mergeCell ref="TRH75:TRJ75"/>
    <mergeCell ref="TRM75:TRO75"/>
    <mergeCell ref="TRQ75:TRS75"/>
    <mergeCell ref="TRV75:TRX75"/>
    <mergeCell ref="TRZ75:TSB75"/>
    <mergeCell ref="TSE75:TSG75"/>
    <mergeCell ref="TPF75:TPH75"/>
    <mergeCell ref="TPK75:TPM75"/>
    <mergeCell ref="TPO75:TPQ75"/>
    <mergeCell ref="TPT75:TPV75"/>
    <mergeCell ref="TPX75:TPZ75"/>
    <mergeCell ref="TQC75:TQE75"/>
    <mergeCell ref="TQG75:TQI75"/>
    <mergeCell ref="TQL75:TQN75"/>
    <mergeCell ref="TQP75:TQR75"/>
    <mergeCell ref="TNR75:TNT75"/>
    <mergeCell ref="TNV75:TNX75"/>
    <mergeCell ref="TOA75:TOC75"/>
    <mergeCell ref="TOE75:TOG75"/>
    <mergeCell ref="TOJ75:TOL75"/>
    <mergeCell ref="TON75:TOP75"/>
    <mergeCell ref="TOS75:TOU75"/>
    <mergeCell ref="TOW75:TOY75"/>
    <mergeCell ref="TPB75:TPD75"/>
    <mergeCell ref="TMC75:TME75"/>
    <mergeCell ref="TMH75:TMJ75"/>
    <mergeCell ref="TML75:TMN75"/>
    <mergeCell ref="TMQ75:TMS75"/>
    <mergeCell ref="TMU75:TMW75"/>
    <mergeCell ref="TMZ75:TNB75"/>
    <mergeCell ref="TND75:TNF75"/>
    <mergeCell ref="TNI75:TNK75"/>
    <mergeCell ref="TNM75:TNO75"/>
    <mergeCell ref="TKO75:TKQ75"/>
    <mergeCell ref="TKS75:TKU75"/>
    <mergeCell ref="TKX75:TKZ75"/>
    <mergeCell ref="TLB75:TLD75"/>
    <mergeCell ref="TLG75:TLI75"/>
    <mergeCell ref="TLK75:TLM75"/>
    <mergeCell ref="TLP75:TLR75"/>
    <mergeCell ref="TLT75:TLV75"/>
    <mergeCell ref="TLY75:TMA75"/>
    <mergeCell ref="TIZ75:TJB75"/>
    <mergeCell ref="TJE75:TJG75"/>
    <mergeCell ref="TJI75:TJK75"/>
    <mergeCell ref="TJN75:TJP75"/>
    <mergeCell ref="TJR75:TJT75"/>
    <mergeCell ref="TJW75:TJY75"/>
    <mergeCell ref="TKA75:TKC75"/>
    <mergeCell ref="TKF75:TKH75"/>
    <mergeCell ref="TKJ75:TKL75"/>
    <mergeCell ref="THL75:THN75"/>
    <mergeCell ref="THP75:THR75"/>
    <mergeCell ref="THU75:THW75"/>
    <mergeCell ref="THY75:TIA75"/>
    <mergeCell ref="TID75:TIF75"/>
    <mergeCell ref="TIH75:TIJ75"/>
    <mergeCell ref="TIM75:TIO75"/>
    <mergeCell ref="TIQ75:TIS75"/>
    <mergeCell ref="TIV75:TIX75"/>
    <mergeCell ref="TFW75:TFY75"/>
    <mergeCell ref="TGB75:TGD75"/>
    <mergeCell ref="TGF75:TGH75"/>
    <mergeCell ref="TGK75:TGM75"/>
    <mergeCell ref="TGO75:TGQ75"/>
    <mergeCell ref="TGT75:TGV75"/>
    <mergeCell ref="TGX75:TGZ75"/>
    <mergeCell ref="THC75:THE75"/>
    <mergeCell ref="THG75:THI75"/>
    <mergeCell ref="TEI75:TEK75"/>
    <mergeCell ref="TEM75:TEO75"/>
    <mergeCell ref="TER75:TET75"/>
    <mergeCell ref="TEV75:TEX75"/>
    <mergeCell ref="TFA75:TFC75"/>
    <mergeCell ref="TFE75:TFG75"/>
    <mergeCell ref="TFJ75:TFL75"/>
    <mergeCell ref="TFN75:TFP75"/>
    <mergeCell ref="TFS75:TFU75"/>
    <mergeCell ref="TCT75:TCV75"/>
    <mergeCell ref="TCY75:TDA75"/>
    <mergeCell ref="TDC75:TDE75"/>
    <mergeCell ref="TDH75:TDJ75"/>
    <mergeCell ref="TDL75:TDN75"/>
    <mergeCell ref="TDQ75:TDS75"/>
    <mergeCell ref="TDU75:TDW75"/>
    <mergeCell ref="TDZ75:TEB75"/>
    <mergeCell ref="TED75:TEF75"/>
    <mergeCell ref="TBF75:TBH75"/>
    <mergeCell ref="TBJ75:TBL75"/>
    <mergeCell ref="TBO75:TBQ75"/>
    <mergeCell ref="TBS75:TBU75"/>
    <mergeCell ref="TBX75:TBZ75"/>
    <mergeCell ref="TCB75:TCD75"/>
    <mergeCell ref="TCG75:TCI75"/>
    <mergeCell ref="TCK75:TCM75"/>
    <mergeCell ref="TCP75:TCR75"/>
    <mergeCell ref="SZQ75:SZS75"/>
    <mergeCell ref="SZV75:SZX75"/>
    <mergeCell ref="SZZ75:TAB75"/>
    <mergeCell ref="TAE75:TAG75"/>
    <mergeCell ref="TAI75:TAK75"/>
    <mergeCell ref="TAN75:TAP75"/>
    <mergeCell ref="TAR75:TAT75"/>
    <mergeCell ref="TAW75:TAY75"/>
    <mergeCell ref="TBA75:TBC75"/>
    <mergeCell ref="SYC75:SYE75"/>
    <mergeCell ref="SYG75:SYI75"/>
    <mergeCell ref="SYL75:SYN75"/>
    <mergeCell ref="SYP75:SYR75"/>
    <mergeCell ref="SYU75:SYW75"/>
    <mergeCell ref="SYY75:SZA75"/>
    <mergeCell ref="SZD75:SZF75"/>
    <mergeCell ref="SZH75:SZJ75"/>
    <mergeCell ref="SZM75:SZO75"/>
    <mergeCell ref="SWN75:SWP75"/>
    <mergeCell ref="SWS75:SWU75"/>
    <mergeCell ref="SWW75:SWY75"/>
    <mergeCell ref="SXB75:SXD75"/>
    <mergeCell ref="SXF75:SXH75"/>
    <mergeCell ref="SXK75:SXM75"/>
    <mergeCell ref="SXO75:SXQ75"/>
    <mergeCell ref="SXT75:SXV75"/>
    <mergeCell ref="SXX75:SXZ75"/>
    <mergeCell ref="SUZ75:SVB75"/>
    <mergeCell ref="SVD75:SVF75"/>
    <mergeCell ref="SVI75:SVK75"/>
    <mergeCell ref="SVM75:SVO75"/>
    <mergeCell ref="SVR75:SVT75"/>
    <mergeCell ref="SVV75:SVX75"/>
    <mergeCell ref="SWA75:SWC75"/>
    <mergeCell ref="SWE75:SWG75"/>
    <mergeCell ref="SWJ75:SWL75"/>
    <mergeCell ref="STK75:STM75"/>
    <mergeCell ref="STP75:STR75"/>
    <mergeCell ref="STT75:STV75"/>
    <mergeCell ref="STY75:SUA75"/>
    <mergeCell ref="SUC75:SUE75"/>
    <mergeCell ref="SUH75:SUJ75"/>
    <mergeCell ref="SUL75:SUN75"/>
    <mergeCell ref="SUQ75:SUS75"/>
    <mergeCell ref="SUU75:SUW75"/>
    <mergeCell ref="SRW75:SRY75"/>
    <mergeCell ref="SSA75:SSC75"/>
    <mergeCell ref="SSF75:SSH75"/>
    <mergeCell ref="SSJ75:SSL75"/>
    <mergeCell ref="SSO75:SSQ75"/>
    <mergeCell ref="SSS75:SSU75"/>
    <mergeCell ref="SSX75:SSZ75"/>
    <mergeCell ref="STB75:STD75"/>
    <mergeCell ref="STG75:STI75"/>
    <mergeCell ref="SQH75:SQJ75"/>
    <mergeCell ref="SQM75:SQO75"/>
    <mergeCell ref="SQQ75:SQS75"/>
    <mergeCell ref="SQV75:SQX75"/>
    <mergeCell ref="SQZ75:SRB75"/>
    <mergeCell ref="SRE75:SRG75"/>
    <mergeCell ref="SRI75:SRK75"/>
    <mergeCell ref="SRN75:SRP75"/>
    <mergeCell ref="SRR75:SRT75"/>
    <mergeCell ref="SOT75:SOV75"/>
    <mergeCell ref="SOX75:SOZ75"/>
    <mergeCell ref="SPC75:SPE75"/>
    <mergeCell ref="SPG75:SPI75"/>
    <mergeCell ref="SPL75:SPN75"/>
    <mergeCell ref="SPP75:SPR75"/>
    <mergeCell ref="SPU75:SPW75"/>
    <mergeCell ref="SPY75:SQA75"/>
    <mergeCell ref="SQD75:SQF75"/>
    <mergeCell ref="SNE75:SNG75"/>
    <mergeCell ref="SNJ75:SNL75"/>
    <mergeCell ref="SNN75:SNP75"/>
    <mergeCell ref="SNS75:SNU75"/>
    <mergeCell ref="SNW75:SNY75"/>
    <mergeCell ref="SOB75:SOD75"/>
    <mergeCell ref="SOF75:SOH75"/>
    <mergeCell ref="SOK75:SOM75"/>
    <mergeCell ref="SOO75:SOQ75"/>
    <mergeCell ref="SLQ75:SLS75"/>
    <mergeCell ref="SLU75:SLW75"/>
    <mergeCell ref="SLZ75:SMB75"/>
    <mergeCell ref="SMD75:SMF75"/>
    <mergeCell ref="SMI75:SMK75"/>
    <mergeCell ref="SMM75:SMO75"/>
    <mergeCell ref="SMR75:SMT75"/>
    <mergeCell ref="SMV75:SMX75"/>
    <mergeCell ref="SNA75:SNC75"/>
    <mergeCell ref="SKB75:SKD75"/>
    <mergeCell ref="SKG75:SKI75"/>
    <mergeCell ref="SKK75:SKM75"/>
    <mergeCell ref="SKP75:SKR75"/>
    <mergeCell ref="SKT75:SKV75"/>
    <mergeCell ref="SKY75:SLA75"/>
    <mergeCell ref="SLC75:SLE75"/>
    <mergeCell ref="SLH75:SLJ75"/>
    <mergeCell ref="SLL75:SLN75"/>
    <mergeCell ref="SIN75:SIP75"/>
    <mergeCell ref="SIR75:SIT75"/>
    <mergeCell ref="SIW75:SIY75"/>
    <mergeCell ref="SJA75:SJC75"/>
    <mergeCell ref="SJF75:SJH75"/>
    <mergeCell ref="SJJ75:SJL75"/>
    <mergeCell ref="SJO75:SJQ75"/>
    <mergeCell ref="SJS75:SJU75"/>
    <mergeCell ref="SJX75:SJZ75"/>
    <mergeCell ref="SGY75:SHA75"/>
    <mergeCell ref="SHD75:SHF75"/>
    <mergeCell ref="SHH75:SHJ75"/>
    <mergeCell ref="SHM75:SHO75"/>
    <mergeCell ref="SHQ75:SHS75"/>
    <mergeCell ref="SHV75:SHX75"/>
    <mergeCell ref="SHZ75:SIB75"/>
    <mergeCell ref="SIE75:SIG75"/>
    <mergeCell ref="SII75:SIK75"/>
    <mergeCell ref="SFK75:SFM75"/>
    <mergeCell ref="SFO75:SFQ75"/>
    <mergeCell ref="SFT75:SFV75"/>
    <mergeCell ref="SFX75:SFZ75"/>
    <mergeCell ref="SGC75:SGE75"/>
    <mergeCell ref="SGG75:SGI75"/>
    <mergeCell ref="SGL75:SGN75"/>
    <mergeCell ref="SGP75:SGR75"/>
    <mergeCell ref="SGU75:SGW75"/>
    <mergeCell ref="SDV75:SDX75"/>
    <mergeCell ref="SEA75:SEC75"/>
    <mergeCell ref="SEE75:SEG75"/>
    <mergeCell ref="SEJ75:SEL75"/>
    <mergeCell ref="SEN75:SEP75"/>
    <mergeCell ref="SES75:SEU75"/>
    <mergeCell ref="SEW75:SEY75"/>
    <mergeCell ref="SFB75:SFD75"/>
    <mergeCell ref="SFF75:SFH75"/>
    <mergeCell ref="SCH75:SCJ75"/>
    <mergeCell ref="SCL75:SCN75"/>
    <mergeCell ref="SCQ75:SCS75"/>
    <mergeCell ref="SCU75:SCW75"/>
    <mergeCell ref="SCZ75:SDB75"/>
    <mergeCell ref="SDD75:SDF75"/>
    <mergeCell ref="SDI75:SDK75"/>
    <mergeCell ref="SDM75:SDO75"/>
    <mergeCell ref="SDR75:SDT75"/>
    <mergeCell ref="SAS75:SAU75"/>
    <mergeCell ref="SAX75:SAZ75"/>
    <mergeCell ref="SBB75:SBD75"/>
    <mergeCell ref="SBG75:SBI75"/>
    <mergeCell ref="SBK75:SBM75"/>
    <mergeCell ref="SBP75:SBR75"/>
    <mergeCell ref="SBT75:SBV75"/>
    <mergeCell ref="SBY75:SCA75"/>
    <mergeCell ref="SCC75:SCE75"/>
    <mergeCell ref="RZE75:RZG75"/>
    <mergeCell ref="RZI75:RZK75"/>
    <mergeCell ref="RZN75:RZP75"/>
    <mergeCell ref="RZR75:RZT75"/>
    <mergeCell ref="RZW75:RZY75"/>
    <mergeCell ref="SAA75:SAC75"/>
    <mergeCell ref="SAF75:SAH75"/>
    <mergeCell ref="SAJ75:SAL75"/>
    <mergeCell ref="SAO75:SAQ75"/>
    <mergeCell ref="RXP75:RXR75"/>
    <mergeCell ref="RXU75:RXW75"/>
    <mergeCell ref="RXY75:RYA75"/>
    <mergeCell ref="RYD75:RYF75"/>
    <mergeCell ref="RYH75:RYJ75"/>
    <mergeCell ref="RYM75:RYO75"/>
    <mergeCell ref="RYQ75:RYS75"/>
    <mergeCell ref="RYV75:RYX75"/>
    <mergeCell ref="RYZ75:RZB75"/>
    <mergeCell ref="RWB75:RWD75"/>
    <mergeCell ref="RWF75:RWH75"/>
    <mergeCell ref="RWK75:RWM75"/>
    <mergeCell ref="RWO75:RWQ75"/>
    <mergeCell ref="RWT75:RWV75"/>
    <mergeCell ref="RWX75:RWZ75"/>
    <mergeCell ref="RXC75:RXE75"/>
    <mergeCell ref="RXG75:RXI75"/>
    <mergeCell ref="RXL75:RXN75"/>
    <mergeCell ref="RUM75:RUO75"/>
    <mergeCell ref="RUR75:RUT75"/>
    <mergeCell ref="RUV75:RUX75"/>
    <mergeCell ref="RVA75:RVC75"/>
    <mergeCell ref="RVE75:RVG75"/>
    <mergeCell ref="RVJ75:RVL75"/>
    <mergeCell ref="RVN75:RVP75"/>
    <mergeCell ref="RVS75:RVU75"/>
    <mergeCell ref="RVW75:RVY75"/>
    <mergeCell ref="RSY75:RTA75"/>
    <mergeCell ref="RTC75:RTE75"/>
    <mergeCell ref="RTH75:RTJ75"/>
    <mergeCell ref="RTL75:RTN75"/>
    <mergeCell ref="RTQ75:RTS75"/>
    <mergeCell ref="RTU75:RTW75"/>
    <mergeCell ref="RTZ75:RUB75"/>
    <mergeCell ref="RUD75:RUF75"/>
    <mergeCell ref="RUI75:RUK75"/>
    <mergeCell ref="RRJ75:RRL75"/>
    <mergeCell ref="RRO75:RRQ75"/>
    <mergeCell ref="RRS75:RRU75"/>
    <mergeCell ref="RRX75:RRZ75"/>
    <mergeCell ref="RSB75:RSD75"/>
    <mergeCell ref="RSG75:RSI75"/>
    <mergeCell ref="RSK75:RSM75"/>
    <mergeCell ref="RSP75:RSR75"/>
    <mergeCell ref="RST75:RSV75"/>
    <mergeCell ref="RPV75:RPX75"/>
    <mergeCell ref="RPZ75:RQB75"/>
    <mergeCell ref="RQE75:RQG75"/>
    <mergeCell ref="RQI75:RQK75"/>
    <mergeCell ref="RQN75:RQP75"/>
    <mergeCell ref="RQR75:RQT75"/>
    <mergeCell ref="RQW75:RQY75"/>
    <mergeCell ref="RRA75:RRC75"/>
    <mergeCell ref="RRF75:RRH75"/>
    <mergeCell ref="ROG75:ROI75"/>
    <mergeCell ref="ROL75:RON75"/>
    <mergeCell ref="ROP75:ROR75"/>
    <mergeCell ref="ROU75:ROW75"/>
    <mergeCell ref="ROY75:RPA75"/>
    <mergeCell ref="RPD75:RPF75"/>
    <mergeCell ref="RPH75:RPJ75"/>
    <mergeCell ref="RPM75:RPO75"/>
    <mergeCell ref="RPQ75:RPS75"/>
    <mergeCell ref="RMS75:RMU75"/>
    <mergeCell ref="RMW75:RMY75"/>
    <mergeCell ref="RNB75:RND75"/>
    <mergeCell ref="RNF75:RNH75"/>
    <mergeCell ref="RNK75:RNM75"/>
    <mergeCell ref="RNO75:RNQ75"/>
    <mergeCell ref="RNT75:RNV75"/>
    <mergeCell ref="RNX75:RNZ75"/>
    <mergeCell ref="ROC75:ROE75"/>
    <mergeCell ref="RLD75:RLF75"/>
    <mergeCell ref="RLI75:RLK75"/>
    <mergeCell ref="RLM75:RLO75"/>
    <mergeCell ref="RLR75:RLT75"/>
    <mergeCell ref="RLV75:RLX75"/>
    <mergeCell ref="RMA75:RMC75"/>
    <mergeCell ref="RME75:RMG75"/>
    <mergeCell ref="RMJ75:RML75"/>
    <mergeCell ref="RMN75:RMP75"/>
    <mergeCell ref="RJP75:RJR75"/>
    <mergeCell ref="RJT75:RJV75"/>
    <mergeCell ref="RJY75:RKA75"/>
    <mergeCell ref="RKC75:RKE75"/>
    <mergeCell ref="RKH75:RKJ75"/>
    <mergeCell ref="RKL75:RKN75"/>
    <mergeCell ref="RKQ75:RKS75"/>
    <mergeCell ref="RKU75:RKW75"/>
    <mergeCell ref="RKZ75:RLB75"/>
    <mergeCell ref="RIA75:RIC75"/>
    <mergeCell ref="RIF75:RIH75"/>
    <mergeCell ref="RIJ75:RIL75"/>
    <mergeCell ref="RIO75:RIQ75"/>
    <mergeCell ref="RIS75:RIU75"/>
    <mergeCell ref="RIX75:RIZ75"/>
    <mergeCell ref="RJB75:RJD75"/>
    <mergeCell ref="RJG75:RJI75"/>
    <mergeCell ref="RJK75:RJM75"/>
    <mergeCell ref="RGM75:RGO75"/>
    <mergeCell ref="RGQ75:RGS75"/>
    <mergeCell ref="RGV75:RGX75"/>
    <mergeCell ref="RGZ75:RHB75"/>
    <mergeCell ref="RHE75:RHG75"/>
    <mergeCell ref="RHI75:RHK75"/>
    <mergeCell ref="RHN75:RHP75"/>
    <mergeCell ref="RHR75:RHT75"/>
    <mergeCell ref="RHW75:RHY75"/>
    <mergeCell ref="REX75:REZ75"/>
    <mergeCell ref="RFC75:RFE75"/>
    <mergeCell ref="RFG75:RFI75"/>
    <mergeCell ref="RFL75:RFN75"/>
    <mergeCell ref="RFP75:RFR75"/>
    <mergeCell ref="RFU75:RFW75"/>
    <mergeCell ref="RFY75:RGA75"/>
    <mergeCell ref="RGD75:RGF75"/>
    <mergeCell ref="RGH75:RGJ75"/>
    <mergeCell ref="RDJ75:RDL75"/>
    <mergeCell ref="RDN75:RDP75"/>
    <mergeCell ref="RDS75:RDU75"/>
    <mergeCell ref="RDW75:RDY75"/>
    <mergeCell ref="REB75:RED75"/>
    <mergeCell ref="REF75:REH75"/>
    <mergeCell ref="REK75:REM75"/>
    <mergeCell ref="REO75:REQ75"/>
    <mergeCell ref="RET75:REV75"/>
    <mergeCell ref="RBU75:RBW75"/>
    <mergeCell ref="RBZ75:RCB75"/>
    <mergeCell ref="RCD75:RCF75"/>
    <mergeCell ref="RCI75:RCK75"/>
    <mergeCell ref="RCM75:RCO75"/>
    <mergeCell ref="RCR75:RCT75"/>
    <mergeCell ref="RCV75:RCX75"/>
    <mergeCell ref="RDA75:RDC75"/>
    <mergeCell ref="RDE75:RDG75"/>
    <mergeCell ref="RAG75:RAI75"/>
    <mergeCell ref="RAK75:RAM75"/>
    <mergeCell ref="RAP75:RAR75"/>
    <mergeCell ref="RAT75:RAV75"/>
    <mergeCell ref="RAY75:RBA75"/>
    <mergeCell ref="RBC75:RBE75"/>
    <mergeCell ref="RBH75:RBJ75"/>
    <mergeCell ref="RBL75:RBN75"/>
    <mergeCell ref="RBQ75:RBS75"/>
    <mergeCell ref="QYR75:QYT75"/>
    <mergeCell ref="QYW75:QYY75"/>
    <mergeCell ref="QZA75:QZC75"/>
    <mergeCell ref="QZF75:QZH75"/>
    <mergeCell ref="QZJ75:QZL75"/>
    <mergeCell ref="QZO75:QZQ75"/>
    <mergeCell ref="QZS75:QZU75"/>
    <mergeCell ref="QZX75:QZZ75"/>
    <mergeCell ref="RAB75:RAD75"/>
    <mergeCell ref="QXD75:QXF75"/>
    <mergeCell ref="QXH75:QXJ75"/>
    <mergeCell ref="QXM75:QXO75"/>
    <mergeCell ref="QXQ75:QXS75"/>
    <mergeCell ref="QXV75:QXX75"/>
    <mergeCell ref="QXZ75:QYB75"/>
    <mergeCell ref="QYE75:QYG75"/>
    <mergeCell ref="QYI75:QYK75"/>
    <mergeCell ref="QYN75:QYP75"/>
    <mergeCell ref="QVO75:QVQ75"/>
    <mergeCell ref="QVT75:QVV75"/>
    <mergeCell ref="QVX75:QVZ75"/>
    <mergeCell ref="QWC75:QWE75"/>
    <mergeCell ref="QWG75:QWI75"/>
    <mergeCell ref="QWL75:QWN75"/>
    <mergeCell ref="QWP75:QWR75"/>
    <mergeCell ref="QWU75:QWW75"/>
    <mergeCell ref="QWY75:QXA75"/>
    <mergeCell ref="QUA75:QUC75"/>
    <mergeCell ref="QUE75:QUG75"/>
    <mergeCell ref="QUJ75:QUL75"/>
    <mergeCell ref="QUN75:QUP75"/>
    <mergeCell ref="QUS75:QUU75"/>
    <mergeCell ref="QUW75:QUY75"/>
    <mergeCell ref="QVB75:QVD75"/>
    <mergeCell ref="QVF75:QVH75"/>
    <mergeCell ref="QVK75:QVM75"/>
    <mergeCell ref="QSL75:QSN75"/>
    <mergeCell ref="QSQ75:QSS75"/>
    <mergeCell ref="QSU75:QSW75"/>
    <mergeCell ref="QSZ75:QTB75"/>
    <mergeCell ref="QTD75:QTF75"/>
    <mergeCell ref="QTI75:QTK75"/>
    <mergeCell ref="QTM75:QTO75"/>
    <mergeCell ref="QTR75:QTT75"/>
    <mergeCell ref="QTV75:QTX75"/>
    <mergeCell ref="QQX75:QQZ75"/>
    <mergeCell ref="QRB75:QRD75"/>
    <mergeCell ref="QRG75:QRI75"/>
    <mergeCell ref="QRK75:QRM75"/>
    <mergeCell ref="QRP75:QRR75"/>
    <mergeCell ref="QRT75:QRV75"/>
    <mergeCell ref="QRY75:QSA75"/>
    <mergeCell ref="QSC75:QSE75"/>
    <mergeCell ref="QSH75:QSJ75"/>
    <mergeCell ref="QPI75:QPK75"/>
    <mergeCell ref="QPN75:QPP75"/>
    <mergeCell ref="QPR75:QPT75"/>
    <mergeCell ref="QPW75:QPY75"/>
    <mergeCell ref="QQA75:QQC75"/>
    <mergeCell ref="QQF75:QQH75"/>
    <mergeCell ref="QQJ75:QQL75"/>
    <mergeCell ref="QQO75:QQQ75"/>
    <mergeCell ref="QQS75:QQU75"/>
    <mergeCell ref="QNU75:QNW75"/>
    <mergeCell ref="QNY75:QOA75"/>
    <mergeCell ref="QOD75:QOF75"/>
    <mergeCell ref="QOH75:QOJ75"/>
    <mergeCell ref="QOM75:QOO75"/>
    <mergeCell ref="QOQ75:QOS75"/>
    <mergeCell ref="QOV75:QOX75"/>
    <mergeCell ref="QOZ75:QPB75"/>
    <mergeCell ref="QPE75:QPG75"/>
    <mergeCell ref="QMF75:QMH75"/>
    <mergeCell ref="QMK75:QMM75"/>
    <mergeCell ref="QMO75:QMQ75"/>
    <mergeCell ref="QMT75:QMV75"/>
    <mergeCell ref="QMX75:QMZ75"/>
    <mergeCell ref="QNC75:QNE75"/>
    <mergeCell ref="QNG75:QNI75"/>
    <mergeCell ref="QNL75:QNN75"/>
    <mergeCell ref="QNP75:QNR75"/>
    <mergeCell ref="QKR75:QKT75"/>
    <mergeCell ref="QKV75:QKX75"/>
    <mergeCell ref="QLA75:QLC75"/>
    <mergeCell ref="QLE75:QLG75"/>
    <mergeCell ref="QLJ75:QLL75"/>
    <mergeCell ref="QLN75:QLP75"/>
    <mergeCell ref="QLS75:QLU75"/>
    <mergeCell ref="QLW75:QLY75"/>
    <mergeCell ref="QMB75:QMD75"/>
    <mergeCell ref="QJC75:QJE75"/>
    <mergeCell ref="QJH75:QJJ75"/>
    <mergeCell ref="QJL75:QJN75"/>
    <mergeCell ref="QJQ75:QJS75"/>
    <mergeCell ref="QJU75:QJW75"/>
    <mergeCell ref="QJZ75:QKB75"/>
    <mergeCell ref="QKD75:QKF75"/>
    <mergeCell ref="QKI75:QKK75"/>
    <mergeCell ref="QKM75:QKO75"/>
    <mergeCell ref="QHO75:QHQ75"/>
    <mergeCell ref="QHS75:QHU75"/>
    <mergeCell ref="QHX75:QHZ75"/>
    <mergeCell ref="QIB75:QID75"/>
    <mergeCell ref="QIG75:QII75"/>
    <mergeCell ref="QIK75:QIM75"/>
    <mergeCell ref="QIP75:QIR75"/>
    <mergeCell ref="QIT75:QIV75"/>
    <mergeCell ref="QIY75:QJA75"/>
    <mergeCell ref="QFZ75:QGB75"/>
    <mergeCell ref="QGE75:QGG75"/>
    <mergeCell ref="QGI75:QGK75"/>
    <mergeCell ref="QGN75:QGP75"/>
    <mergeCell ref="QGR75:QGT75"/>
    <mergeCell ref="QGW75:QGY75"/>
    <mergeCell ref="QHA75:QHC75"/>
    <mergeCell ref="QHF75:QHH75"/>
    <mergeCell ref="QHJ75:QHL75"/>
    <mergeCell ref="QEL75:QEN75"/>
    <mergeCell ref="QEP75:QER75"/>
    <mergeCell ref="QEU75:QEW75"/>
    <mergeCell ref="QEY75:QFA75"/>
    <mergeCell ref="QFD75:QFF75"/>
    <mergeCell ref="QFH75:QFJ75"/>
    <mergeCell ref="QFM75:QFO75"/>
    <mergeCell ref="QFQ75:QFS75"/>
    <mergeCell ref="QFV75:QFX75"/>
    <mergeCell ref="QCW75:QCY75"/>
    <mergeCell ref="QDB75:QDD75"/>
    <mergeCell ref="QDF75:QDH75"/>
    <mergeCell ref="QDK75:QDM75"/>
    <mergeCell ref="QDO75:QDQ75"/>
    <mergeCell ref="QDT75:QDV75"/>
    <mergeCell ref="QDX75:QDZ75"/>
    <mergeCell ref="QEC75:QEE75"/>
    <mergeCell ref="QEG75:QEI75"/>
    <mergeCell ref="QBI75:QBK75"/>
    <mergeCell ref="QBM75:QBO75"/>
    <mergeCell ref="QBR75:QBT75"/>
    <mergeCell ref="QBV75:QBX75"/>
    <mergeCell ref="QCA75:QCC75"/>
    <mergeCell ref="QCE75:QCG75"/>
    <mergeCell ref="QCJ75:QCL75"/>
    <mergeCell ref="QCN75:QCP75"/>
    <mergeCell ref="QCS75:QCU75"/>
    <mergeCell ref="PZT75:PZV75"/>
    <mergeCell ref="PZY75:QAA75"/>
    <mergeCell ref="QAC75:QAE75"/>
    <mergeCell ref="QAH75:QAJ75"/>
    <mergeCell ref="QAL75:QAN75"/>
    <mergeCell ref="QAQ75:QAS75"/>
    <mergeCell ref="QAU75:QAW75"/>
    <mergeCell ref="QAZ75:QBB75"/>
    <mergeCell ref="QBD75:QBF75"/>
    <mergeCell ref="PYF75:PYH75"/>
    <mergeCell ref="PYJ75:PYL75"/>
    <mergeCell ref="PYO75:PYQ75"/>
    <mergeCell ref="PYS75:PYU75"/>
    <mergeCell ref="PYX75:PYZ75"/>
    <mergeCell ref="PZB75:PZD75"/>
    <mergeCell ref="PZG75:PZI75"/>
    <mergeCell ref="PZK75:PZM75"/>
    <mergeCell ref="PZP75:PZR75"/>
    <mergeCell ref="PWQ75:PWS75"/>
    <mergeCell ref="PWV75:PWX75"/>
    <mergeCell ref="PWZ75:PXB75"/>
    <mergeCell ref="PXE75:PXG75"/>
    <mergeCell ref="PXI75:PXK75"/>
    <mergeCell ref="PXN75:PXP75"/>
    <mergeCell ref="PXR75:PXT75"/>
    <mergeCell ref="PXW75:PXY75"/>
    <mergeCell ref="PYA75:PYC75"/>
    <mergeCell ref="PVC75:PVE75"/>
    <mergeCell ref="PVG75:PVI75"/>
    <mergeCell ref="PVL75:PVN75"/>
    <mergeCell ref="PVP75:PVR75"/>
    <mergeCell ref="PVU75:PVW75"/>
    <mergeCell ref="PVY75:PWA75"/>
    <mergeCell ref="PWD75:PWF75"/>
    <mergeCell ref="PWH75:PWJ75"/>
    <mergeCell ref="PWM75:PWO75"/>
    <mergeCell ref="PTN75:PTP75"/>
    <mergeCell ref="PTS75:PTU75"/>
    <mergeCell ref="PTW75:PTY75"/>
    <mergeCell ref="PUB75:PUD75"/>
    <mergeCell ref="PUF75:PUH75"/>
    <mergeCell ref="PUK75:PUM75"/>
    <mergeCell ref="PUO75:PUQ75"/>
    <mergeCell ref="PUT75:PUV75"/>
    <mergeCell ref="PUX75:PUZ75"/>
    <mergeCell ref="PRZ75:PSB75"/>
    <mergeCell ref="PSD75:PSF75"/>
    <mergeCell ref="PSI75:PSK75"/>
    <mergeCell ref="PSM75:PSO75"/>
    <mergeCell ref="PSR75:PST75"/>
    <mergeCell ref="PSV75:PSX75"/>
    <mergeCell ref="PTA75:PTC75"/>
    <mergeCell ref="PTE75:PTG75"/>
    <mergeCell ref="PTJ75:PTL75"/>
    <mergeCell ref="PQK75:PQM75"/>
    <mergeCell ref="PQP75:PQR75"/>
    <mergeCell ref="PQT75:PQV75"/>
    <mergeCell ref="PQY75:PRA75"/>
    <mergeCell ref="PRC75:PRE75"/>
    <mergeCell ref="PRH75:PRJ75"/>
    <mergeCell ref="PRL75:PRN75"/>
    <mergeCell ref="PRQ75:PRS75"/>
    <mergeCell ref="PRU75:PRW75"/>
    <mergeCell ref="POW75:POY75"/>
    <mergeCell ref="PPA75:PPC75"/>
    <mergeCell ref="PPF75:PPH75"/>
    <mergeCell ref="PPJ75:PPL75"/>
    <mergeCell ref="PPO75:PPQ75"/>
    <mergeCell ref="PPS75:PPU75"/>
    <mergeCell ref="PPX75:PPZ75"/>
    <mergeCell ref="PQB75:PQD75"/>
    <mergeCell ref="PQG75:PQI75"/>
    <mergeCell ref="PNH75:PNJ75"/>
    <mergeCell ref="PNM75:PNO75"/>
    <mergeCell ref="PNQ75:PNS75"/>
    <mergeCell ref="PNV75:PNX75"/>
    <mergeCell ref="PNZ75:POB75"/>
    <mergeCell ref="POE75:POG75"/>
    <mergeCell ref="POI75:POK75"/>
    <mergeCell ref="PON75:POP75"/>
    <mergeCell ref="POR75:POT75"/>
    <mergeCell ref="PLT75:PLV75"/>
    <mergeCell ref="PLX75:PLZ75"/>
    <mergeCell ref="PMC75:PME75"/>
    <mergeCell ref="PMG75:PMI75"/>
    <mergeCell ref="PML75:PMN75"/>
    <mergeCell ref="PMP75:PMR75"/>
    <mergeCell ref="PMU75:PMW75"/>
    <mergeCell ref="PMY75:PNA75"/>
    <mergeCell ref="PND75:PNF75"/>
    <mergeCell ref="PKE75:PKG75"/>
    <mergeCell ref="PKJ75:PKL75"/>
    <mergeCell ref="PKN75:PKP75"/>
    <mergeCell ref="PKS75:PKU75"/>
    <mergeCell ref="PKW75:PKY75"/>
    <mergeCell ref="PLB75:PLD75"/>
    <mergeCell ref="PLF75:PLH75"/>
    <mergeCell ref="PLK75:PLM75"/>
    <mergeCell ref="PLO75:PLQ75"/>
    <mergeCell ref="PIQ75:PIS75"/>
    <mergeCell ref="PIU75:PIW75"/>
    <mergeCell ref="PIZ75:PJB75"/>
    <mergeCell ref="PJD75:PJF75"/>
    <mergeCell ref="PJI75:PJK75"/>
    <mergeCell ref="PJM75:PJO75"/>
    <mergeCell ref="PJR75:PJT75"/>
    <mergeCell ref="PJV75:PJX75"/>
    <mergeCell ref="PKA75:PKC75"/>
    <mergeCell ref="PHB75:PHD75"/>
    <mergeCell ref="PHG75:PHI75"/>
    <mergeCell ref="PHK75:PHM75"/>
    <mergeCell ref="PHP75:PHR75"/>
    <mergeCell ref="PHT75:PHV75"/>
    <mergeCell ref="PHY75:PIA75"/>
    <mergeCell ref="PIC75:PIE75"/>
    <mergeCell ref="PIH75:PIJ75"/>
    <mergeCell ref="PIL75:PIN75"/>
    <mergeCell ref="PFN75:PFP75"/>
    <mergeCell ref="PFR75:PFT75"/>
    <mergeCell ref="PFW75:PFY75"/>
    <mergeCell ref="PGA75:PGC75"/>
    <mergeCell ref="PGF75:PGH75"/>
    <mergeCell ref="PGJ75:PGL75"/>
    <mergeCell ref="PGO75:PGQ75"/>
    <mergeCell ref="PGS75:PGU75"/>
    <mergeCell ref="PGX75:PGZ75"/>
    <mergeCell ref="PDY75:PEA75"/>
    <mergeCell ref="PED75:PEF75"/>
    <mergeCell ref="PEH75:PEJ75"/>
    <mergeCell ref="PEM75:PEO75"/>
    <mergeCell ref="PEQ75:PES75"/>
    <mergeCell ref="PEV75:PEX75"/>
    <mergeCell ref="PEZ75:PFB75"/>
    <mergeCell ref="PFE75:PFG75"/>
    <mergeCell ref="PFI75:PFK75"/>
    <mergeCell ref="PCK75:PCM75"/>
    <mergeCell ref="PCO75:PCQ75"/>
    <mergeCell ref="PCT75:PCV75"/>
    <mergeCell ref="PCX75:PCZ75"/>
    <mergeCell ref="PDC75:PDE75"/>
    <mergeCell ref="PDG75:PDI75"/>
    <mergeCell ref="PDL75:PDN75"/>
    <mergeCell ref="PDP75:PDR75"/>
    <mergeCell ref="PDU75:PDW75"/>
    <mergeCell ref="PAV75:PAX75"/>
    <mergeCell ref="PBA75:PBC75"/>
    <mergeCell ref="PBE75:PBG75"/>
    <mergeCell ref="PBJ75:PBL75"/>
    <mergeCell ref="PBN75:PBP75"/>
    <mergeCell ref="PBS75:PBU75"/>
    <mergeCell ref="PBW75:PBY75"/>
    <mergeCell ref="PCB75:PCD75"/>
    <mergeCell ref="PCF75:PCH75"/>
    <mergeCell ref="OZH75:OZJ75"/>
    <mergeCell ref="OZL75:OZN75"/>
    <mergeCell ref="OZQ75:OZS75"/>
    <mergeCell ref="OZU75:OZW75"/>
    <mergeCell ref="OZZ75:PAB75"/>
    <mergeCell ref="PAD75:PAF75"/>
    <mergeCell ref="PAI75:PAK75"/>
    <mergeCell ref="PAM75:PAO75"/>
    <mergeCell ref="PAR75:PAT75"/>
    <mergeCell ref="OXS75:OXU75"/>
    <mergeCell ref="OXX75:OXZ75"/>
    <mergeCell ref="OYB75:OYD75"/>
    <mergeCell ref="OYG75:OYI75"/>
    <mergeCell ref="OYK75:OYM75"/>
    <mergeCell ref="OYP75:OYR75"/>
    <mergeCell ref="OYT75:OYV75"/>
    <mergeCell ref="OYY75:OZA75"/>
    <mergeCell ref="OZC75:OZE75"/>
    <mergeCell ref="OWE75:OWG75"/>
    <mergeCell ref="OWI75:OWK75"/>
    <mergeCell ref="OWN75:OWP75"/>
    <mergeCell ref="OWR75:OWT75"/>
    <mergeCell ref="OWW75:OWY75"/>
    <mergeCell ref="OXA75:OXC75"/>
    <mergeCell ref="OXF75:OXH75"/>
    <mergeCell ref="OXJ75:OXL75"/>
    <mergeCell ref="OXO75:OXQ75"/>
    <mergeCell ref="OUP75:OUR75"/>
    <mergeCell ref="OUU75:OUW75"/>
    <mergeCell ref="OUY75:OVA75"/>
    <mergeCell ref="OVD75:OVF75"/>
    <mergeCell ref="OVH75:OVJ75"/>
    <mergeCell ref="OVM75:OVO75"/>
    <mergeCell ref="OVQ75:OVS75"/>
    <mergeCell ref="OVV75:OVX75"/>
    <mergeCell ref="OVZ75:OWB75"/>
    <mergeCell ref="OTB75:OTD75"/>
    <mergeCell ref="OTF75:OTH75"/>
    <mergeCell ref="OTK75:OTM75"/>
    <mergeCell ref="OTO75:OTQ75"/>
    <mergeCell ref="OTT75:OTV75"/>
    <mergeCell ref="OTX75:OTZ75"/>
    <mergeCell ref="OUC75:OUE75"/>
    <mergeCell ref="OUG75:OUI75"/>
    <mergeCell ref="OUL75:OUN75"/>
    <mergeCell ref="ORM75:ORO75"/>
    <mergeCell ref="ORR75:ORT75"/>
    <mergeCell ref="ORV75:ORX75"/>
    <mergeCell ref="OSA75:OSC75"/>
    <mergeCell ref="OSE75:OSG75"/>
    <mergeCell ref="OSJ75:OSL75"/>
    <mergeCell ref="OSN75:OSP75"/>
    <mergeCell ref="OSS75:OSU75"/>
    <mergeCell ref="OSW75:OSY75"/>
    <mergeCell ref="OPY75:OQA75"/>
    <mergeCell ref="OQC75:OQE75"/>
    <mergeCell ref="OQH75:OQJ75"/>
    <mergeCell ref="OQL75:OQN75"/>
    <mergeCell ref="OQQ75:OQS75"/>
    <mergeCell ref="OQU75:OQW75"/>
    <mergeCell ref="OQZ75:ORB75"/>
    <mergeCell ref="ORD75:ORF75"/>
    <mergeCell ref="ORI75:ORK75"/>
    <mergeCell ref="OOJ75:OOL75"/>
    <mergeCell ref="OOO75:OOQ75"/>
    <mergeCell ref="OOS75:OOU75"/>
    <mergeCell ref="OOX75:OOZ75"/>
    <mergeCell ref="OPB75:OPD75"/>
    <mergeCell ref="OPG75:OPI75"/>
    <mergeCell ref="OPK75:OPM75"/>
    <mergeCell ref="OPP75:OPR75"/>
    <mergeCell ref="OPT75:OPV75"/>
    <mergeCell ref="OMV75:OMX75"/>
    <mergeCell ref="OMZ75:ONB75"/>
    <mergeCell ref="ONE75:ONG75"/>
    <mergeCell ref="ONI75:ONK75"/>
    <mergeCell ref="ONN75:ONP75"/>
    <mergeCell ref="ONR75:ONT75"/>
    <mergeCell ref="ONW75:ONY75"/>
    <mergeCell ref="OOA75:OOC75"/>
    <mergeCell ref="OOF75:OOH75"/>
    <mergeCell ref="OLG75:OLI75"/>
    <mergeCell ref="OLL75:OLN75"/>
    <mergeCell ref="OLP75:OLR75"/>
    <mergeCell ref="OLU75:OLW75"/>
    <mergeCell ref="OLY75:OMA75"/>
    <mergeCell ref="OMD75:OMF75"/>
    <mergeCell ref="OMH75:OMJ75"/>
    <mergeCell ref="OMM75:OMO75"/>
    <mergeCell ref="OMQ75:OMS75"/>
    <mergeCell ref="OJS75:OJU75"/>
    <mergeCell ref="OJW75:OJY75"/>
    <mergeCell ref="OKB75:OKD75"/>
    <mergeCell ref="OKF75:OKH75"/>
    <mergeCell ref="OKK75:OKM75"/>
    <mergeCell ref="OKO75:OKQ75"/>
    <mergeCell ref="OKT75:OKV75"/>
    <mergeCell ref="OKX75:OKZ75"/>
    <mergeCell ref="OLC75:OLE75"/>
    <mergeCell ref="OID75:OIF75"/>
    <mergeCell ref="OII75:OIK75"/>
    <mergeCell ref="OIM75:OIO75"/>
    <mergeCell ref="OIR75:OIT75"/>
    <mergeCell ref="OIV75:OIX75"/>
    <mergeCell ref="OJA75:OJC75"/>
    <mergeCell ref="OJE75:OJG75"/>
    <mergeCell ref="OJJ75:OJL75"/>
    <mergeCell ref="OJN75:OJP75"/>
    <mergeCell ref="OGP75:OGR75"/>
    <mergeCell ref="OGT75:OGV75"/>
    <mergeCell ref="OGY75:OHA75"/>
    <mergeCell ref="OHC75:OHE75"/>
    <mergeCell ref="OHH75:OHJ75"/>
    <mergeCell ref="OHL75:OHN75"/>
    <mergeCell ref="OHQ75:OHS75"/>
    <mergeCell ref="OHU75:OHW75"/>
    <mergeCell ref="OHZ75:OIB75"/>
    <mergeCell ref="OFA75:OFC75"/>
    <mergeCell ref="OFF75:OFH75"/>
    <mergeCell ref="OFJ75:OFL75"/>
    <mergeCell ref="OFO75:OFQ75"/>
    <mergeCell ref="OFS75:OFU75"/>
    <mergeCell ref="OFX75:OFZ75"/>
    <mergeCell ref="OGB75:OGD75"/>
    <mergeCell ref="OGG75:OGI75"/>
    <mergeCell ref="OGK75:OGM75"/>
    <mergeCell ref="ODM75:ODO75"/>
    <mergeCell ref="ODQ75:ODS75"/>
    <mergeCell ref="ODV75:ODX75"/>
    <mergeCell ref="ODZ75:OEB75"/>
    <mergeCell ref="OEE75:OEG75"/>
    <mergeCell ref="OEI75:OEK75"/>
    <mergeCell ref="OEN75:OEP75"/>
    <mergeCell ref="OER75:OET75"/>
    <mergeCell ref="OEW75:OEY75"/>
    <mergeCell ref="OBX75:OBZ75"/>
    <mergeCell ref="OCC75:OCE75"/>
    <mergeCell ref="OCG75:OCI75"/>
    <mergeCell ref="OCL75:OCN75"/>
    <mergeCell ref="OCP75:OCR75"/>
    <mergeCell ref="OCU75:OCW75"/>
    <mergeCell ref="OCY75:ODA75"/>
    <mergeCell ref="ODD75:ODF75"/>
    <mergeCell ref="ODH75:ODJ75"/>
    <mergeCell ref="OAJ75:OAL75"/>
    <mergeCell ref="OAN75:OAP75"/>
    <mergeCell ref="OAS75:OAU75"/>
    <mergeCell ref="OAW75:OAY75"/>
    <mergeCell ref="OBB75:OBD75"/>
    <mergeCell ref="OBF75:OBH75"/>
    <mergeCell ref="OBK75:OBM75"/>
    <mergeCell ref="OBO75:OBQ75"/>
    <mergeCell ref="OBT75:OBV75"/>
    <mergeCell ref="NYU75:NYW75"/>
    <mergeCell ref="NYZ75:NZB75"/>
    <mergeCell ref="NZD75:NZF75"/>
    <mergeCell ref="NZI75:NZK75"/>
    <mergeCell ref="NZM75:NZO75"/>
    <mergeCell ref="NZR75:NZT75"/>
    <mergeCell ref="NZV75:NZX75"/>
    <mergeCell ref="OAA75:OAC75"/>
    <mergeCell ref="OAE75:OAG75"/>
    <mergeCell ref="NXG75:NXI75"/>
    <mergeCell ref="NXK75:NXM75"/>
    <mergeCell ref="NXP75:NXR75"/>
    <mergeCell ref="NXT75:NXV75"/>
    <mergeCell ref="NXY75:NYA75"/>
    <mergeCell ref="NYC75:NYE75"/>
    <mergeCell ref="NYH75:NYJ75"/>
    <mergeCell ref="NYL75:NYN75"/>
    <mergeCell ref="NYQ75:NYS75"/>
    <mergeCell ref="NVR75:NVT75"/>
    <mergeCell ref="NVW75:NVY75"/>
    <mergeCell ref="NWA75:NWC75"/>
    <mergeCell ref="NWF75:NWH75"/>
    <mergeCell ref="NWJ75:NWL75"/>
    <mergeCell ref="NWO75:NWQ75"/>
    <mergeCell ref="NWS75:NWU75"/>
    <mergeCell ref="NWX75:NWZ75"/>
    <mergeCell ref="NXB75:NXD75"/>
    <mergeCell ref="NUD75:NUF75"/>
    <mergeCell ref="NUH75:NUJ75"/>
    <mergeCell ref="NUM75:NUO75"/>
    <mergeCell ref="NUQ75:NUS75"/>
    <mergeCell ref="NUV75:NUX75"/>
    <mergeCell ref="NUZ75:NVB75"/>
    <mergeCell ref="NVE75:NVG75"/>
    <mergeCell ref="NVI75:NVK75"/>
    <mergeCell ref="NVN75:NVP75"/>
    <mergeCell ref="NSO75:NSQ75"/>
    <mergeCell ref="NST75:NSV75"/>
    <mergeCell ref="NSX75:NSZ75"/>
    <mergeCell ref="NTC75:NTE75"/>
    <mergeCell ref="NTG75:NTI75"/>
    <mergeCell ref="NTL75:NTN75"/>
    <mergeCell ref="NTP75:NTR75"/>
    <mergeCell ref="NTU75:NTW75"/>
    <mergeCell ref="NTY75:NUA75"/>
    <mergeCell ref="NRA75:NRC75"/>
    <mergeCell ref="NRE75:NRG75"/>
    <mergeCell ref="NRJ75:NRL75"/>
    <mergeCell ref="NRN75:NRP75"/>
    <mergeCell ref="NRS75:NRU75"/>
    <mergeCell ref="NRW75:NRY75"/>
    <mergeCell ref="NSB75:NSD75"/>
    <mergeCell ref="NSF75:NSH75"/>
    <mergeCell ref="NSK75:NSM75"/>
    <mergeCell ref="NPL75:NPN75"/>
    <mergeCell ref="NPQ75:NPS75"/>
    <mergeCell ref="NPU75:NPW75"/>
    <mergeCell ref="NPZ75:NQB75"/>
    <mergeCell ref="NQD75:NQF75"/>
    <mergeCell ref="NQI75:NQK75"/>
    <mergeCell ref="NQM75:NQO75"/>
    <mergeCell ref="NQR75:NQT75"/>
    <mergeCell ref="NQV75:NQX75"/>
    <mergeCell ref="NNX75:NNZ75"/>
    <mergeCell ref="NOB75:NOD75"/>
    <mergeCell ref="NOG75:NOI75"/>
    <mergeCell ref="NOK75:NOM75"/>
    <mergeCell ref="NOP75:NOR75"/>
    <mergeCell ref="NOT75:NOV75"/>
    <mergeCell ref="NOY75:NPA75"/>
    <mergeCell ref="NPC75:NPE75"/>
    <mergeCell ref="NPH75:NPJ75"/>
    <mergeCell ref="NMI75:NMK75"/>
    <mergeCell ref="NMN75:NMP75"/>
    <mergeCell ref="NMR75:NMT75"/>
    <mergeCell ref="NMW75:NMY75"/>
    <mergeCell ref="NNA75:NNC75"/>
    <mergeCell ref="NNF75:NNH75"/>
    <mergeCell ref="NNJ75:NNL75"/>
    <mergeCell ref="NNO75:NNQ75"/>
    <mergeCell ref="NNS75:NNU75"/>
    <mergeCell ref="NKU75:NKW75"/>
    <mergeCell ref="NKY75:NLA75"/>
    <mergeCell ref="NLD75:NLF75"/>
    <mergeCell ref="NLH75:NLJ75"/>
    <mergeCell ref="NLM75:NLO75"/>
    <mergeCell ref="NLQ75:NLS75"/>
    <mergeCell ref="NLV75:NLX75"/>
    <mergeCell ref="NLZ75:NMB75"/>
    <mergeCell ref="NME75:NMG75"/>
    <mergeCell ref="NJF75:NJH75"/>
    <mergeCell ref="NJK75:NJM75"/>
    <mergeCell ref="NJO75:NJQ75"/>
    <mergeCell ref="NJT75:NJV75"/>
    <mergeCell ref="NJX75:NJZ75"/>
    <mergeCell ref="NKC75:NKE75"/>
    <mergeCell ref="NKG75:NKI75"/>
    <mergeCell ref="NKL75:NKN75"/>
    <mergeCell ref="NKP75:NKR75"/>
    <mergeCell ref="NHR75:NHT75"/>
    <mergeCell ref="NHV75:NHX75"/>
    <mergeCell ref="NIA75:NIC75"/>
    <mergeCell ref="NIE75:NIG75"/>
    <mergeCell ref="NIJ75:NIL75"/>
    <mergeCell ref="NIN75:NIP75"/>
    <mergeCell ref="NIS75:NIU75"/>
    <mergeCell ref="NIW75:NIY75"/>
    <mergeCell ref="NJB75:NJD75"/>
    <mergeCell ref="NGC75:NGE75"/>
    <mergeCell ref="NGH75:NGJ75"/>
    <mergeCell ref="NGL75:NGN75"/>
    <mergeCell ref="NGQ75:NGS75"/>
    <mergeCell ref="NGU75:NGW75"/>
    <mergeCell ref="NGZ75:NHB75"/>
    <mergeCell ref="NHD75:NHF75"/>
    <mergeCell ref="NHI75:NHK75"/>
    <mergeCell ref="NHM75:NHO75"/>
    <mergeCell ref="NEO75:NEQ75"/>
    <mergeCell ref="NES75:NEU75"/>
    <mergeCell ref="NEX75:NEZ75"/>
    <mergeCell ref="NFB75:NFD75"/>
    <mergeCell ref="NFG75:NFI75"/>
    <mergeCell ref="NFK75:NFM75"/>
    <mergeCell ref="NFP75:NFR75"/>
    <mergeCell ref="NFT75:NFV75"/>
    <mergeCell ref="NFY75:NGA75"/>
    <mergeCell ref="NCZ75:NDB75"/>
    <mergeCell ref="NDE75:NDG75"/>
    <mergeCell ref="NDI75:NDK75"/>
    <mergeCell ref="NDN75:NDP75"/>
    <mergeCell ref="NDR75:NDT75"/>
    <mergeCell ref="NDW75:NDY75"/>
    <mergeCell ref="NEA75:NEC75"/>
    <mergeCell ref="NEF75:NEH75"/>
    <mergeCell ref="NEJ75:NEL75"/>
    <mergeCell ref="NBL75:NBN75"/>
    <mergeCell ref="NBP75:NBR75"/>
    <mergeCell ref="NBU75:NBW75"/>
    <mergeCell ref="NBY75:NCA75"/>
    <mergeCell ref="NCD75:NCF75"/>
    <mergeCell ref="NCH75:NCJ75"/>
    <mergeCell ref="NCM75:NCO75"/>
    <mergeCell ref="NCQ75:NCS75"/>
    <mergeCell ref="NCV75:NCX75"/>
    <mergeCell ref="MZW75:MZY75"/>
    <mergeCell ref="NAB75:NAD75"/>
    <mergeCell ref="NAF75:NAH75"/>
    <mergeCell ref="NAK75:NAM75"/>
    <mergeCell ref="NAO75:NAQ75"/>
    <mergeCell ref="NAT75:NAV75"/>
    <mergeCell ref="NAX75:NAZ75"/>
    <mergeCell ref="NBC75:NBE75"/>
    <mergeCell ref="NBG75:NBI75"/>
    <mergeCell ref="MYI75:MYK75"/>
    <mergeCell ref="MYM75:MYO75"/>
    <mergeCell ref="MYR75:MYT75"/>
    <mergeCell ref="MYV75:MYX75"/>
    <mergeCell ref="MZA75:MZC75"/>
    <mergeCell ref="MZE75:MZG75"/>
    <mergeCell ref="MZJ75:MZL75"/>
    <mergeCell ref="MZN75:MZP75"/>
    <mergeCell ref="MZS75:MZU75"/>
    <mergeCell ref="MWT75:MWV75"/>
    <mergeCell ref="MWY75:MXA75"/>
    <mergeCell ref="MXC75:MXE75"/>
    <mergeCell ref="MXH75:MXJ75"/>
    <mergeCell ref="MXL75:MXN75"/>
    <mergeCell ref="MXQ75:MXS75"/>
    <mergeCell ref="MXU75:MXW75"/>
    <mergeCell ref="MXZ75:MYB75"/>
    <mergeCell ref="MYD75:MYF75"/>
    <mergeCell ref="MVF75:MVH75"/>
    <mergeCell ref="MVJ75:MVL75"/>
    <mergeCell ref="MVO75:MVQ75"/>
    <mergeCell ref="MVS75:MVU75"/>
    <mergeCell ref="MVX75:MVZ75"/>
    <mergeCell ref="MWB75:MWD75"/>
    <mergeCell ref="MWG75:MWI75"/>
    <mergeCell ref="MWK75:MWM75"/>
    <mergeCell ref="MWP75:MWR75"/>
    <mergeCell ref="MTQ75:MTS75"/>
    <mergeCell ref="MTV75:MTX75"/>
    <mergeCell ref="MTZ75:MUB75"/>
    <mergeCell ref="MUE75:MUG75"/>
    <mergeCell ref="MUI75:MUK75"/>
    <mergeCell ref="MUN75:MUP75"/>
    <mergeCell ref="MUR75:MUT75"/>
    <mergeCell ref="MUW75:MUY75"/>
    <mergeCell ref="MVA75:MVC75"/>
    <mergeCell ref="MSC75:MSE75"/>
    <mergeCell ref="MSG75:MSI75"/>
    <mergeCell ref="MSL75:MSN75"/>
    <mergeCell ref="MSP75:MSR75"/>
    <mergeCell ref="MSU75:MSW75"/>
    <mergeCell ref="MSY75:MTA75"/>
    <mergeCell ref="MTD75:MTF75"/>
    <mergeCell ref="MTH75:MTJ75"/>
    <mergeCell ref="MTM75:MTO75"/>
    <mergeCell ref="MQN75:MQP75"/>
    <mergeCell ref="MQS75:MQU75"/>
    <mergeCell ref="MQW75:MQY75"/>
    <mergeCell ref="MRB75:MRD75"/>
    <mergeCell ref="MRF75:MRH75"/>
    <mergeCell ref="MRK75:MRM75"/>
    <mergeCell ref="MRO75:MRQ75"/>
    <mergeCell ref="MRT75:MRV75"/>
    <mergeCell ref="MRX75:MRZ75"/>
    <mergeCell ref="MOZ75:MPB75"/>
    <mergeCell ref="MPD75:MPF75"/>
    <mergeCell ref="MPI75:MPK75"/>
    <mergeCell ref="MPM75:MPO75"/>
    <mergeCell ref="MPR75:MPT75"/>
    <mergeCell ref="MPV75:MPX75"/>
    <mergeCell ref="MQA75:MQC75"/>
    <mergeCell ref="MQE75:MQG75"/>
    <mergeCell ref="MQJ75:MQL75"/>
    <mergeCell ref="MNK75:MNM75"/>
    <mergeCell ref="MNP75:MNR75"/>
    <mergeCell ref="MNT75:MNV75"/>
    <mergeCell ref="MNY75:MOA75"/>
    <mergeCell ref="MOC75:MOE75"/>
    <mergeCell ref="MOH75:MOJ75"/>
    <mergeCell ref="MOL75:MON75"/>
    <mergeCell ref="MOQ75:MOS75"/>
    <mergeCell ref="MOU75:MOW75"/>
    <mergeCell ref="MLW75:MLY75"/>
    <mergeCell ref="MMA75:MMC75"/>
    <mergeCell ref="MMF75:MMH75"/>
    <mergeCell ref="MMJ75:MML75"/>
    <mergeCell ref="MMO75:MMQ75"/>
    <mergeCell ref="MMS75:MMU75"/>
    <mergeCell ref="MMX75:MMZ75"/>
    <mergeCell ref="MNB75:MND75"/>
    <mergeCell ref="MNG75:MNI75"/>
    <mergeCell ref="MKH75:MKJ75"/>
    <mergeCell ref="MKM75:MKO75"/>
    <mergeCell ref="MKQ75:MKS75"/>
    <mergeCell ref="MKV75:MKX75"/>
    <mergeCell ref="MKZ75:MLB75"/>
    <mergeCell ref="MLE75:MLG75"/>
    <mergeCell ref="MLI75:MLK75"/>
    <mergeCell ref="MLN75:MLP75"/>
    <mergeCell ref="MLR75:MLT75"/>
    <mergeCell ref="MIT75:MIV75"/>
    <mergeCell ref="MIX75:MIZ75"/>
    <mergeCell ref="MJC75:MJE75"/>
    <mergeCell ref="MJG75:MJI75"/>
    <mergeCell ref="MJL75:MJN75"/>
    <mergeCell ref="MJP75:MJR75"/>
    <mergeCell ref="MJU75:MJW75"/>
    <mergeCell ref="MJY75:MKA75"/>
    <mergeCell ref="MKD75:MKF75"/>
    <mergeCell ref="MHE75:MHG75"/>
    <mergeCell ref="MHJ75:MHL75"/>
    <mergeCell ref="MHN75:MHP75"/>
    <mergeCell ref="MHS75:MHU75"/>
    <mergeCell ref="MHW75:MHY75"/>
    <mergeCell ref="MIB75:MID75"/>
    <mergeCell ref="MIF75:MIH75"/>
    <mergeCell ref="MIK75:MIM75"/>
    <mergeCell ref="MIO75:MIQ75"/>
    <mergeCell ref="MFQ75:MFS75"/>
    <mergeCell ref="MFU75:MFW75"/>
    <mergeCell ref="MFZ75:MGB75"/>
    <mergeCell ref="MGD75:MGF75"/>
    <mergeCell ref="MGI75:MGK75"/>
    <mergeCell ref="MGM75:MGO75"/>
    <mergeCell ref="MGR75:MGT75"/>
    <mergeCell ref="MGV75:MGX75"/>
    <mergeCell ref="MHA75:MHC75"/>
    <mergeCell ref="MEB75:MED75"/>
    <mergeCell ref="MEG75:MEI75"/>
    <mergeCell ref="MEK75:MEM75"/>
    <mergeCell ref="MEP75:MER75"/>
    <mergeCell ref="MET75:MEV75"/>
    <mergeCell ref="MEY75:MFA75"/>
    <mergeCell ref="MFC75:MFE75"/>
    <mergeCell ref="MFH75:MFJ75"/>
    <mergeCell ref="MFL75:MFN75"/>
    <mergeCell ref="MCN75:MCP75"/>
    <mergeCell ref="MCR75:MCT75"/>
    <mergeCell ref="MCW75:MCY75"/>
    <mergeCell ref="MDA75:MDC75"/>
    <mergeCell ref="MDF75:MDH75"/>
    <mergeCell ref="MDJ75:MDL75"/>
    <mergeCell ref="MDO75:MDQ75"/>
    <mergeCell ref="MDS75:MDU75"/>
    <mergeCell ref="MDX75:MDZ75"/>
    <mergeCell ref="MAY75:MBA75"/>
    <mergeCell ref="MBD75:MBF75"/>
    <mergeCell ref="MBH75:MBJ75"/>
    <mergeCell ref="MBM75:MBO75"/>
    <mergeCell ref="MBQ75:MBS75"/>
    <mergeCell ref="MBV75:MBX75"/>
    <mergeCell ref="MBZ75:MCB75"/>
    <mergeCell ref="MCE75:MCG75"/>
    <mergeCell ref="MCI75:MCK75"/>
    <mergeCell ref="LZK75:LZM75"/>
    <mergeCell ref="LZO75:LZQ75"/>
    <mergeCell ref="LZT75:LZV75"/>
    <mergeCell ref="LZX75:LZZ75"/>
    <mergeCell ref="MAC75:MAE75"/>
    <mergeCell ref="MAG75:MAI75"/>
    <mergeCell ref="MAL75:MAN75"/>
    <mergeCell ref="MAP75:MAR75"/>
    <mergeCell ref="MAU75:MAW75"/>
    <mergeCell ref="LXV75:LXX75"/>
    <mergeCell ref="LYA75:LYC75"/>
    <mergeCell ref="LYE75:LYG75"/>
    <mergeCell ref="LYJ75:LYL75"/>
    <mergeCell ref="LYN75:LYP75"/>
    <mergeCell ref="LYS75:LYU75"/>
    <mergeCell ref="LYW75:LYY75"/>
    <mergeCell ref="LZB75:LZD75"/>
    <mergeCell ref="LZF75:LZH75"/>
    <mergeCell ref="LWH75:LWJ75"/>
    <mergeCell ref="LWL75:LWN75"/>
    <mergeCell ref="LWQ75:LWS75"/>
    <mergeCell ref="LWU75:LWW75"/>
    <mergeCell ref="LWZ75:LXB75"/>
    <mergeCell ref="LXD75:LXF75"/>
    <mergeCell ref="LXI75:LXK75"/>
    <mergeCell ref="LXM75:LXO75"/>
    <mergeCell ref="LXR75:LXT75"/>
    <mergeCell ref="LUS75:LUU75"/>
    <mergeCell ref="LUX75:LUZ75"/>
    <mergeCell ref="LVB75:LVD75"/>
    <mergeCell ref="LVG75:LVI75"/>
    <mergeCell ref="LVK75:LVM75"/>
    <mergeCell ref="LVP75:LVR75"/>
    <mergeCell ref="LVT75:LVV75"/>
    <mergeCell ref="LVY75:LWA75"/>
    <mergeCell ref="LWC75:LWE75"/>
    <mergeCell ref="LTE75:LTG75"/>
    <mergeCell ref="LTI75:LTK75"/>
    <mergeCell ref="LTN75:LTP75"/>
    <mergeCell ref="LTR75:LTT75"/>
    <mergeCell ref="LTW75:LTY75"/>
    <mergeCell ref="LUA75:LUC75"/>
    <mergeCell ref="LUF75:LUH75"/>
    <mergeCell ref="LUJ75:LUL75"/>
    <mergeCell ref="LUO75:LUQ75"/>
    <mergeCell ref="LRP75:LRR75"/>
    <mergeCell ref="LRU75:LRW75"/>
    <mergeCell ref="LRY75:LSA75"/>
    <mergeCell ref="LSD75:LSF75"/>
    <mergeCell ref="LSH75:LSJ75"/>
    <mergeCell ref="LSM75:LSO75"/>
    <mergeCell ref="LSQ75:LSS75"/>
    <mergeCell ref="LSV75:LSX75"/>
    <mergeCell ref="LSZ75:LTB75"/>
    <mergeCell ref="LQB75:LQD75"/>
    <mergeCell ref="LQF75:LQH75"/>
    <mergeCell ref="LQK75:LQM75"/>
    <mergeCell ref="LQO75:LQQ75"/>
    <mergeCell ref="LQT75:LQV75"/>
    <mergeCell ref="LQX75:LQZ75"/>
    <mergeCell ref="LRC75:LRE75"/>
    <mergeCell ref="LRG75:LRI75"/>
    <mergeCell ref="LRL75:LRN75"/>
    <mergeCell ref="LOM75:LOO75"/>
    <mergeCell ref="LOR75:LOT75"/>
    <mergeCell ref="LOV75:LOX75"/>
    <mergeCell ref="LPA75:LPC75"/>
    <mergeCell ref="LPE75:LPG75"/>
    <mergeCell ref="LPJ75:LPL75"/>
    <mergeCell ref="LPN75:LPP75"/>
    <mergeCell ref="LPS75:LPU75"/>
    <mergeCell ref="LPW75:LPY75"/>
    <mergeCell ref="LMY75:LNA75"/>
    <mergeCell ref="LNC75:LNE75"/>
    <mergeCell ref="LNH75:LNJ75"/>
    <mergeCell ref="LNL75:LNN75"/>
    <mergeCell ref="LNQ75:LNS75"/>
    <mergeCell ref="LNU75:LNW75"/>
    <mergeCell ref="LNZ75:LOB75"/>
    <mergeCell ref="LOD75:LOF75"/>
    <mergeCell ref="LOI75:LOK75"/>
    <mergeCell ref="LLJ75:LLL75"/>
    <mergeCell ref="LLO75:LLQ75"/>
    <mergeCell ref="LLS75:LLU75"/>
    <mergeCell ref="LLX75:LLZ75"/>
    <mergeCell ref="LMB75:LMD75"/>
    <mergeCell ref="LMG75:LMI75"/>
    <mergeCell ref="LMK75:LMM75"/>
    <mergeCell ref="LMP75:LMR75"/>
    <mergeCell ref="LMT75:LMV75"/>
    <mergeCell ref="LJV75:LJX75"/>
    <mergeCell ref="LJZ75:LKB75"/>
    <mergeCell ref="LKE75:LKG75"/>
    <mergeCell ref="LKI75:LKK75"/>
    <mergeCell ref="LKN75:LKP75"/>
    <mergeCell ref="LKR75:LKT75"/>
    <mergeCell ref="LKW75:LKY75"/>
    <mergeCell ref="LLA75:LLC75"/>
    <mergeCell ref="LLF75:LLH75"/>
    <mergeCell ref="LIG75:LII75"/>
    <mergeCell ref="LIL75:LIN75"/>
    <mergeCell ref="LIP75:LIR75"/>
    <mergeCell ref="LIU75:LIW75"/>
    <mergeCell ref="LIY75:LJA75"/>
    <mergeCell ref="LJD75:LJF75"/>
    <mergeCell ref="LJH75:LJJ75"/>
    <mergeCell ref="LJM75:LJO75"/>
    <mergeCell ref="LJQ75:LJS75"/>
    <mergeCell ref="LGS75:LGU75"/>
    <mergeCell ref="LGW75:LGY75"/>
    <mergeCell ref="LHB75:LHD75"/>
    <mergeCell ref="LHF75:LHH75"/>
    <mergeCell ref="LHK75:LHM75"/>
    <mergeCell ref="LHO75:LHQ75"/>
    <mergeCell ref="LHT75:LHV75"/>
    <mergeCell ref="LHX75:LHZ75"/>
    <mergeCell ref="LIC75:LIE75"/>
    <mergeCell ref="LFD75:LFF75"/>
    <mergeCell ref="LFI75:LFK75"/>
    <mergeCell ref="LFM75:LFO75"/>
    <mergeCell ref="LFR75:LFT75"/>
    <mergeCell ref="LFV75:LFX75"/>
    <mergeCell ref="LGA75:LGC75"/>
    <mergeCell ref="LGE75:LGG75"/>
    <mergeCell ref="LGJ75:LGL75"/>
    <mergeCell ref="LGN75:LGP75"/>
    <mergeCell ref="LDP75:LDR75"/>
    <mergeCell ref="LDT75:LDV75"/>
    <mergeCell ref="LDY75:LEA75"/>
    <mergeCell ref="LEC75:LEE75"/>
    <mergeCell ref="LEH75:LEJ75"/>
    <mergeCell ref="LEL75:LEN75"/>
    <mergeCell ref="LEQ75:LES75"/>
    <mergeCell ref="LEU75:LEW75"/>
    <mergeCell ref="LEZ75:LFB75"/>
    <mergeCell ref="LCA75:LCC75"/>
    <mergeCell ref="LCF75:LCH75"/>
    <mergeCell ref="LCJ75:LCL75"/>
    <mergeCell ref="LCO75:LCQ75"/>
    <mergeCell ref="LCS75:LCU75"/>
    <mergeCell ref="LCX75:LCZ75"/>
    <mergeCell ref="LDB75:LDD75"/>
    <mergeCell ref="LDG75:LDI75"/>
    <mergeCell ref="LDK75:LDM75"/>
    <mergeCell ref="LAM75:LAO75"/>
    <mergeCell ref="LAQ75:LAS75"/>
    <mergeCell ref="LAV75:LAX75"/>
    <mergeCell ref="LAZ75:LBB75"/>
    <mergeCell ref="LBE75:LBG75"/>
    <mergeCell ref="LBI75:LBK75"/>
    <mergeCell ref="LBN75:LBP75"/>
    <mergeCell ref="LBR75:LBT75"/>
    <mergeCell ref="LBW75:LBY75"/>
    <mergeCell ref="KYX75:KYZ75"/>
    <mergeCell ref="KZC75:KZE75"/>
    <mergeCell ref="KZG75:KZI75"/>
    <mergeCell ref="KZL75:KZN75"/>
    <mergeCell ref="KZP75:KZR75"/>
    <mergeCell ref="KZU75:KZW75"/>
    <mergeCell ref="KZY75:LAA75"/>
    <mergeCell ref="LAD75:LAF75"/>
    <mergeCell ref="LAH75:LAJ75"/>
    <mergeCell ref="KXJ75:KXL75"/>
    <mergeCell ref="KXN75:KXP75"/>
    <mergeCell ref="KXS75:KXU75"/>
    <mergeCell ref="KXW75:KXY75"/>
    <mergeCell ref="KYB75:KYD75"/>
    <mergeCell ref="KYF75:KYH75"/>
    <mergeCell ref="KYK75:KYM75"/>
    <mergeCell ref="KYO75:KYQ75"/>
    <mergeCell ref="KYT75:KYV75"/>
    <mergeCell ref="KVU75:KVW75"/>
    <mergeCell ref="KVZ75:KWB75"/>
    <mergeCell ref="KWD75:KWF75"/>
    <mergeCell ref="KWI75:KWK75"/>
    <mergeCell ref="KWM75:KWO75"/>
    <mergeCell ref="KWR75:KWT75"/>
    <mergeCell ref="KWV75:KWX75"/>
    <mergeCell ref="KXA75:KXC75"/>
    <mergeCell ref="KXE75:KXG75"/>
    <mergeCell ref="KUG75:KUI75"/>
    <mergeCell ref="KUK75:KUM75"/>
    <mergeCell ref="KUP75:KUR75"/>
    <mergeCell ref="KUT75:KUV75"/>
    <mergeCell ref="KUY75:KVA75"/>
    <mergeCell ref="KVC75:KVE75"/>
    <mergeCell ref="KVH75:KVJ75"/>
    <mergeCell ref="KVL75:KVN75"/>
    <mergeCell ref="KVQ75:KVS75"/>
    <mergeCell ref="KSR75:KST75"/>
    <mergeCell ref="KSW75:KSY75"/>
    <mergeCell ref="KTA75:KTC75"/>
    <mergeCell ref="KTF75:KTH75"/>
    <mergeCell ref="KTJ75:KTL75"/>
    <mergeCell ref="KTO75:KTQ75"/>
    <mergeCell ref="KTS75:KTU75"/>
    <mergeCell ref="KTX75:KTZ75"/>
    <mergeCell ref="KUB75:KUD75"/>
    <mergeCell ref="KRD75:KRF75"/>
    <mergeCell ref="KRH75:KRJ75"/>
    <mergeCell ref="KRM75:KRO75"/>
    <mergeCell ref="KRQ75:KRS75"/>
    <mergeCell ref="KRV75:KRX75"/>
    <mergeCell ref="KRZ75:KSB75"/>
    <mergeCell ref="KSE75:KSG75"/>
    <mergeCell ref="KSI75:KSK75"/>
    <mergeCell ref="KSN75:KSP75"/>
    <mergeCell ref="KPO75:KPQ75"/>
    <mergeCell ref="KPT75:KPV75"/>
    <mergeCell ref="KPX75:KPZ75"/>
    <mergeCell ref="KQC75:KQE75"/>
    <mergeCell ref="KQG75:KQI75"/>
    <mergeCell ref="KQL75:KQN75"/>
    <mergeCell ref="KQP75:KQR75"/>
    <mergeCell ref="KQU75:KQW75"/>
    <mergeCell ref="KQY75:KRA75"/>
    <mergeCell ref="KOA75:KOC75"/>
    <mergeCell ref="KOE75:KOG75"/>
    <mergeCell ref="KOJ75:KOL75"/>
    <mergeCell ref="KON75:KOP75"/>
    <mergeCell ref="KOS75:KOU75"/>
    <mergeCell ref="KOW75:KOY75"/>
    <mergeCell ref="KPB75:KPD75"/>
    <mergeCell ref="KPF75:KPH75"/>
    <mergeCell ref="KPK75:KPM75"/>
    <mergeCell ref="KML75:KMN75"/>
    <mergeCell ref="KMQ75:KMS75"/>
    <mergeCell ref="KMU75:KMW75"/>
    <mergeCell ref="KMZ75:KNB75"/>
    <mergeCell ref="KND75:KNF75"/>
    <mergeCell ref="KNI75:KNK75"/>
    <mergeCell ref="KNM75:KNO75"/>
    <mergeCell ref="KNR75:KNT75"/>
    <mergeCell ref="KNV75:KNX75"/>
    <mergeCell ref="KKX75:KKZ75"/>
    <mergeCell ref="KLB75:KLD75"/>
    <mergeCell ref="KLG75:KLI75"/>
    <mergeCell ref="KLK75:KLM75"/>
    <mergeCell ref="KLP75:KLR75"/>
    <mergeCell ref="KLT75:KLV75"/>
    <mergeCell ref="KLY75:KMA75"/>
    <mergeCell ref="KMC75:KME75"/>
    <mergeCell ref="KMH75:KMJ75"/>
    <mergeCell ref="KJI75:KJK75"/>
    <mergeCell ref="KJN75:KJP75"/>
    <mergeCell ref="KJR75:KJT75"/>
    <mergeCell ref="KJW75:KJY75"/>
    <mergeCell ref="KKA75:KKC75"/>
    <mergeCell ref="KKF75:KKH75"/>
    <mergeCell ref="KKJ75:KKL75"/>
    <mergeCell ref="KKO75:KKQ75"/>
    <mergeCell ref="KKS75:KKU75"/>
    <mergeCell ref="KHU75:KHW75"/>
    <mergeCell ref="KHY75:KIA75"/>
    <mergeCell ref="KID75:KIF75"/>
    <mergeCell ref="KIH75:KIJ75"/>
    <mergeCell ref="KIM75:KIO75"/>
    <mergeCell ref="KIQ75:KIS75"/>
    <mergeCell ref="KIV75:KIX75"/>
    <mergeCell ref="KIZ75:KJB75"/>
    <mergeCell ref="KJE75:KJG75"/>
    <mergeCell ref="KGF75:KGH75"/>
    <mergeCell ref="KGK75:KGM75"/>
    <mergeCell ref="KGO75:KGQ75"/>
    <mergeCell ref="KGT75:KGV75"/>
    <mergeCell ref="KGX75:KGZ75"/>
    <mergeCell ref="KHC75:KHE75"/>
    <mergeCell ref="KHG75:KHI75"/>
    <mergeCell ref="KHL75:KHN75"/>
    <mergeCell ref="KHP75:KHR75"/>
    <mergeCell ref="KER75:KET75"/>
    <mergeCell ref="KEV75:KEX75"/>
    <mergeCell ref="KFA75:KFC75"/>
    <mergeCell ref="KFE75:KFG75"/>
    <mergeCell ref="KFJ75:KFL75"/>
    <mergeCell ref="KFN75:KFP75"/>
    <mergeCell ref="KFS75:KFU75"/>
    <mergeCell ref="KFW75:KFY75"/>
    <mergeCell ref="KGB75:KGD75"/>
    <mergeCell ref="KDC75:KDE75"/>
    <mergeCell ref="KDH75:KDJ75"/>
    <mergeCell ref="KDL75:KDN75"/>
    <mergeCell ref="KDQ75:KDS75"/>
    <mergeCell ref="KDU75:KDW75"/>
    <mergeCell ref="KDZ75:KEB75"/>
    <mergeCell ref="KED75:KEF75"/>
    <mergeCell ref="KEI75:KEK75"/>
    <mergeCell ref="KEM75:KEO75"/>
    <mergeCell ref="KBO75:KBQ75"/>
    <mergeCell ref="KBS75:KBU75"/>
    <mergeCell ref="KBX75:KBZ75"/>
    <mergeCell ref="KCB75:KCD75"/>
    <mergeCell ref="KCG75:KCI75"/>
    <mergeCell ref="KCK75:KCM75"/>
    <mergeCell ref="KCP75:KCR75"/>
    <mergeCell ref="KCT75:KCV75"/>
    <mergeCell ref="KCY75:KDA75"/>
    <mergeCell ref="JZZ75:KAB75"/>
    <mergeCell ref="KAE75:KAG75"/>
    <mergeCell ref="KAI75:KAK75"/>
    <mergeCell ref="KAN75:KAP75"/>
    <mergeCell ref="KAR75:KAT75"/>
    <mergeCell ref="KAW75:KAY75"/>
    <mergeCell ref="KBA75:KBC75"/>
    <mergeCell ref="KBF75:KBH75"/>
    <mergeCell ref="KBJ75:KBL75"/>
    <mergeCell ref="JYL75:JYN75"/>
    <mergeCell ref="JYP75:JYR75"/>
    <mergeCell ref="JYU75:JYW75"/>
    <mergeCell ref="JYY75:JZA75"/>
    <mergeCell ref="JZD75:JZF75"/>
    <mergeCell ref="JZH75:JZJ75"/>
    <mergeCell ref="JZM75:JZO75"/>
    <mergeCell ref="JZQ75:JZS75"/>
    <mergeCell ref="JZV75:JZX75"/>
    <mergeCell ref="JWW75:JWY75"/>
    <mergeCell ref="JXB75:JXD75"/>
    <mergeCell ref="JXF75:JXH75"/>
    <mergeCell ref="JXK75:JXM75"/>
    <mergeCell ref="JXO75:JXQ75"/>
    <mergeCell ref="JXT75:JXV75"/>
    <mergeCell ref="JXX75:JXZ75"/>
    <mergeCell ref="JYC75:JYE75"/>
    <mergeCell ref="JYG75:JYI75"/>
    <mergeCell ref="JVI75:JVK75"/>
    <mergeCell ref="JVM75:JVO75"/>
    <mergeCell ref="JVR75:JVT75"/>
    <mergeCell ref="JVV75:JVX75"/>
    <mergeCell ref="JWA75:JWC75"/>
    <mergeCell ref="JWE75:JWG75"/>
    <mergeCell ref="JWJ75:JWL75"/>
    <mergeCell ref="JWN75:JWP75"/>
    <mergeCell ref="JWS75:JWU75"/>
    <mergeCell ref="JTT75:JTV75"/>
    <mergeCell ref="JTY75:JUA75"/>
    <mergeCell ref="JUC75:JUE75"/>
    <mergeCell ref="JUH75:JUJ75"/>
    <mergeCell ref="JUL75:JUN75"/>
    <mergeCell ref="JUQ75:JUS75"/>
    <mergeCell ref="JUU75:JUW75"/>
    <mergeCell ref="JUZ75:JVB75"/>
    <mergeCell ref="JVD75:JVF75"/>
    <mergeCell ref="JSF75:JSH75"/>
    <mergeCell ref="JSJ75:JSL75"/>
    <mergeCell ref="JSO75:JSQ75"/>
    <mergeCell ref="JSS75:JSU75"/>
    <mergeCell ref="JSX75:JSZ75"/>
    <mergeCell ref="JTB75:JTD75"/>
    <mergeCell ref="JTG75:JTI75"/>
    <mergeCell ref="JTK75:JTM75"/>
    <mergeCell ref="JTP75:JTR75"/>
    <mergeCell ref="JQQ75:JQS75"/>
    <mergeCell ref="JQV75:JQX75"/>
    <mergeCell ref="JQZ75:JRB75"/>
    <mergeCell ref="JRE75:JRG75"/>
    <mergeCell ref="JRI75:JRK75"/>
    <mergeCell ref="JRN75:JRP75"/>
    <mergeCell ref="JRR75:JRT75"/>
    <mergeCell ref="JRW75:JRY75"/>
    <mergeCell ref="JSA75:JSC75"/>
    <mergeCell ref="JPC75:JPE75"/>
    <mergeCell ref="JPG75:JPI75"/>
    <mergeCell ref="JPL75:JPN75"/>
    <mergeCell ref="JPP75:JPR75"/>
    <mergeCell ref="JPU75:JPW75"/>
    <mergeCell ref="JPY75:JQA75"/>
    <mergeCell ref="JQD75:JQF75"/>
    <mergeCell ref="JQH75:JQJ75"/>
    <mergeCell ref="JQM75:JQO75"/>
    <mergeCell ref="JNN75:JNP75"/>
    <mergeCell ref="JNS75:JNU75"/>
    <mergeCell ref="JNW75:JNY75"/>
    <mergeCell ref="JOB75:JOD75"/>
    <mergeCell ref="JOF75:JOH75"/>
    <mergeCell ref="JOK75:JOM75"/>
    <mergeCell ref="JOO75:JOQ75"/>
    <mergeCell ref="JOT75:JOV75"/>
    <mergeCell ref="JOX75:JOZ75"/>
    <mergeCell ref="JLZ75:JMB75"/>
    <mergeCell ref="JMD75:JMF75"/>
    <mergeCell ref="JMI75:JMK75"/>
    <mergeCell ref="JMM75:JMO75"/>
    <mergeCell ref="JMR75:JMT75"/>
    <mergeCell ref="JMV75:JMX75"/>
    <mergeCell ref="JNA75:JNC75"/>
    <mergeCell ref="JNE75:JNG75"/>
    <mergeCell ref="JNJ75:JNL75"/>
    <mergeCell ref="JKK75:JKM75"/>
    <mergeCell ref="JKP75:JKR75"/>
    <mergeCell ref="JKT75:JKV75"/>
    <mergeCell ref="JKY75:JLA75"/>
    <mergeCell ref="JLC75:JLE75"/>
    <mergeCell ref="JLH75:JLJ75"/>
    <mergeCell ref="JLL75:JLN75"/>
    <mergeCell ref="JLQ75:JLS75"/>
    <mergeCell ref="JLU75:JLW75"/>
    <mergeCell ref="JIW75:JIY75"/>
    <mergeCell ref="JJA75:JJC75"/>
    <mergeCell ref="JJF75:JJH75"/>
    <mergeCell ref="JJJ75:JJL75"/>
    <mergeCell ref="JJO75:JJQ75"/>
    <mergeCell ref="JJS75:JJU75"/>
    <mergeCell ref="JJX75:JJZ75"/>
    <mergeCell ref="JKB75:JKD75"/>
    <mergeCell ref="JKG75:JKI75"/>
    <mergeCell ref="JHH75:JHJ75"/>
    <mergeCell ref="JHM75:JHO75"/>
    <mergeCell ref="JHQ75:JHS75"/>
    <mergeCell ref="JHV75:JHX75"/>
    <mergeCell ref="JHZ75:JIB75"/>
    <mergeCell ref="JIE75:JIG75"/>
    <mergeCell ref="JII75:JIK75"/>
    <mergeCell ref="JIN75:JIP75"/>
    <mergeCell ref="JIR75:JIT75"/>
    <mergeCell ref="JFT75:JFV75"/>
    <mergeCell ref="JFX75:JFZ75"/>
    <mergeCell ref="JGC75:JGE75"/>
    <mergeCell ref="JGG75:JGI75"/>
    <mergeCell ref="JGL75:JGN75"/>
    <mergeCell ref="JGP75:JGR75"/>
    <mergeCell ref="JGU75:JGW75"/>
    <mergeCell ref="JGY75:JHA75"/>
    <mergeCell ref="JHD75:JHF75"/>
    <mergeCell ref="JEE75:JEG75"/>
    <mergeCell ref="JEJ75:JEL75"/>
    <mergeCell ref="JEN75:JEP75"/>
    <mergeCell ref="JES75:JEU75"/>
    <mergeCell ref="JEW75:JEY75"/>
    <mergeCell ref="JFB75:JFD75"/>
    <mergeCell ref="JFF75:JFH75"/>
    <mergeCell ref="JFK75:JFM75"/>
    <mergeCell ref="JFO75:JFQ75"/>
    <mergeCell ref="JCQ75:JCS75"/>
    <mergeCell ref="JCU75:JCW75"/>
    <mergeCell ref="JCZ75:JDB75"/>
    <mergeCell ref="JDD75:JDF75"/>
    <mergeCell ref="JDI75:JDK75"/>
    <mergeCell ref="JDM75:JDO75"/>
    <mergeCell ref="JDR75:JDT75"/>
    <mergeCell ref="JDV75:JDX75"/>
    <mergeCell ref="JEA75:JEC75"/>
    <mergeCell ref="JBB75:JBD75"/>
    <mergeCell ref="JBG75:JBI75"/>
    <mergeCell ref="JBK75:JBM75"/>
    <mergeCell ref="JBP75:JBR75"/>
    <mergeCell ref="JBT75:JBV75"/>
    <mergeCell ref="JBY75:JCA75"/>
    <mergeCell ref="JCC75:JCE75"/>
    <mergeCell ref="JCH75:JCJ75"/>
    <mergeCell ref="JCL75:JCN75"/>
    <mergeCell ref="IZN75:IZP75"/>
    <mergeCell ref="IZR75:IZT75"/>
    <mergeCell ref="IZW75:IZY75"/>
    <mergeCell ref="JAA75:JAC75"/>
    <mergeCell ref="JAF75:JAH75"/>
    <mergeCell ref="JAJ75:JAL75"/>
    <mergeCell ref="JAO75:JAQ75"/>
    <mergeCell ref="JAS75:JAU75"/>
    <mergeCell ref="JAX75:JAZ75"/>
    <mergeCell ref="IXY75:IYA75"/>
    <mergeCell ref="IYD75:IYF75"/>
    <mergeCell ref="IYH75:IYJ75"/>
    <mergeCell ref="IYM75:IYO75"/>
    <mergeCell ref="IYQ75:IYS75"/>
    <mergeCell ref="IYV75:IYX75"/>
    <mergeCell ref="IYZ75:IZB75"/>
    <mergeCell ref="IZE75:IZG75"/>
    <mergeCell ref="IZI75:IZK75"/>
    <mergeCell ref="IWK75:IWM75"/>
    <mergeCell ref="IWO75:IWQ75"/>
    <mergeCell ref="IWT75:IWV75"/>
    <mergeCell ref="IWX75:IWZ75"/>
    <mergeCell ref="IXC75:IXE75"/>
    <mergeCell ref="IXG75:IXI75"/>
    <mergeCell ref="IXL75:IXN75"/>
    <mergeCell ref="IXP75:IXR75"/>
    <mergeCell ref="IXU75:IXW75"/>
    <mergeCell ref="IUV75:IUX75"/>
    <mergeCell ref="IVA75:IVC75"/>
    <mergeCell ref="IVE75:IVG75"/>
    <mergeCell ref="IVJ75:IVL75"/>
    <mergeCell ref="IVN75:IVP75"/>
    <mergeCell ref="IVS75:IVU75"/>
    <mergeCell ref="IVW75:IVY75"/>
    <mergeCell ref="IWB75:IWD75"/>
    <mergeCell ref="IWF75:IWH75"/>
    <mergeCell ref="ITH75:ITJ75"/>
    <mergeCell ref="ITL75:ITN75"/>
    <mergeCell ref="ITQ75:ITS75"/>
    <mergeCell ref="ITU75:ITW75"/>
    <mergeCell ref="ITZ75:IUB75"/>
    <mergeCell ref="IUD75:IUF75"/>
    <mergeCell ref="IUI75:IUK75"/>
    <mergeCell ref="IUM75:IUO75"/>
    <mergeCell ref="IUR75:IUT75"/>
    <mergeCell ref="IRS75:IRU75"/>
    <mergeCell ref="IRX75:IRZ75"/>
    <mergeCell ref="ISB75:ISD75"/>
    <mergeCell ref="ISG75:ISI75"/>
    <mergeCell ref="ISK75:ISM75"/>
    <mergeCell ref="ISP75:ISR75"/>
    <mergeCell ref="IST75:ISV75"/>
    <mergeCell ref="ISY75:ITA75"/>
    <mergeCell ref="ITC75:ITE75"/>
    <mergeCell ref="IQE75:IQG75"/>
    <mergeCell ref="IQI75:IQK75"/>
    <mergeCell ref="IQN75:IQP75"/>
    <mergeCell ref="IQR75:IQT75"/>
    <mergeCell ref="IQW75:IQY75"/>
    <mergeCell ref="IRA75:IRC75"/>
    <mergeCell ref="IRF75:IRH75"/>
    <mergeCell ref="IRJ75:IRL75"/>
    <mergeCell ref="IRO75:IRQ75"/>
    <mergeCell ref="IOP75:IOR75"/>
    <mergeCell ref="IOU75:IOW75"/>
    <mergeCell ref="IOY75:IPA75"/>
    <mergeCell ref="IPD75:IPF75"/>
    <mergeCell ref="IPH75:IPJ75"/>
    <mergeCell ref="IPM75:IPO75"/>
    <mergeCell ref="IPQ75:IPS75"/>
    <mergeCell ref="IPV75:IPX75"/>
    <mergeCell ref="IPZ75:IQB75"/>
    <mergeCell ref="INB75:IND75"/>
    <mergeCell ref="INF75:INH75"/>
    <mergeCell ref="INK75:INM75"/>
    <mergeCell ref="INO75:INQ75"/>
    <mergeCell ref="INT75:INV75"/>
    <mergeCell ref="INX75:INZ75"/>
    <mergeCell ref="IOC75:IOE75"/>
    <mergeCell ref="IOG75:IOI75"/>
    <mergeCell ref="IOL75:ION75"/>
    <mergeCell ref="ILM75:ILO75"/>
    <mergeCell ref="ILR75:ILT75"/>
    <mergeCell ref="ILV75:ILX75"/>
    <mergeCell ref="IMA75:IMC75"/>
    <mergeCell ref="IME75:IMG75"/>
    <mergeCell ref="IMJ75:IML75"/>
    <mergeCell ref="IMN75:IMP75"/>
    <mergeCell ref="IMS75:IMU75"/>
    <mergeCell ref="IMW75:IMY75"/>
    <mergeCell ref="IJY75:IKA75"/>
    <mergeCell ref="IKC75:IKE75"/>
    <mergeCell ref="IKH75:IKJ75"/>
    <mergeCell ref="IKL75:IKN75"/>
    <mergeCell ref="IKQ75:IKS75"/>
    <mergeCell ref="IKU75:IKW75"/>
    <mergeCell ref="IKZ75:ILB75"/>
    <mergeCell ref="ILD75:ILF75"/>
    <mergeCell ref="ILI75:ILK75"/>
    <mergeCell ref="IIJ75:IIL75"/>
    <mergeCell ref="IIO75:IIQ75"/>
    <mergeCell ref="IIS75:IIU75"/>
    <mergeCell ref="IIX75:IIZ75"/>
    <mergeCell ref="IJB75:IJD75"/>
    <mergeCell ref="IJG75:IJI75"/>
    <mergeCell ref="IJK75:IJM75"/>
    <mergeCell ref="IJP75:IJR75"/>
    <mergeCell ref="IJT75:IJV75"/>
    <mergeCell ref="IGV75:IGX75"/>
    <mergeCell ref="IGZ75:IHB75"/>
    <mergeCell ref="IHE75:IHG75"/>
    <mergeCell ref="IHI75:IHK75"/>
    <mergeCell ref="IHN75:IHP75"/>
    <mergeCell ref="IHR75:IHT75"/>
    <mergeCell ref="IHW75:IHY75"/>
    <mergeCell ref="IIA75:IIC75"/>
    <mergeCell ref="IIF75:IIH75"/>
    <mergeCell ref="IFG75:IFI75"/>
    <mergeCell ref="IFL75:IFN75"/>
    <mergeCell ref="IFP75:IFR75"/>
    <mergeCell ref="IFU75:IFW75"/>
    <mergeCell ref="IFY75:IGA75"/>
    <mergeCell ref="IGD75:IGF75"/>
    <mergeCell ref="IGH75:IGJ75"/>
    <mergeCell ref="IGM75:IGO75"/>
    <mergeCell ref="IGQ75:IGS75"/>
    <mergeCell ref="IDS75:IDU75"/>
    <mergeCell ref="IDW75:IDY75"/>
    <mergeCell ref="IEB75:IED75"/>
    <mergeCell ref="IEF75:IEH75"/>
    <mergeCell ref="IEK75:IEM75"/>
    <mergeCell ref="IEO75:IEQ75"/>
    <mergeCell ref="IET75:IEV75"/>
    <mergeCell ref="IEX75:IEZ75"/>
    <mergeCell ref="IFC75:IFE75"/>
    <mergeCell ref="ICD75:ICF75"/>
    <mergeCell ref="ICI75:ICK75"/>
    <mergeCell ref="ICM75:ICO75"/>
    <mergeCell ref="ICR75:ICT75"/>
    <mergeCell ref="ICV75:ICX75"/>
    <mergeCell ref="IDA75:IDC75"/>
    <mergeCell ref="IDE75:IDG75"/>
    <mergeCell ref="IDJ75:IDL75"/>
    <mergeCell ref="IDN75:IDP75"/>
    <mergeCell ref="IAP75:IAR75"/>
    <mergeCell ref="IAT75:IAV75"/>
    <mergeCell ref="IAY75:IBA75"/>
    <mergeCell ref="IBC75:IBE75"/>
    <mergeCell ref="IBH75:IBJ75"/>
    <mergeCell ref="IBL75:IBN75"/>
    <mergeCell ref="IBQ75:IBS75"/>
    <mergeCell ref="IBU75:IBW75"/>
    <mergeCell ref="IBZ75:ICB75"/>
    <mergeCell ref="HZA75:HZC75"/>
    <mergeCell ref="HZF75:HZH75"/>
    <mergeCell ref="HZJ75:HZL75"/>
    <mergeCell ref="HZO75:HZQ75"/>
    <mergeCell ref="HZS75:HZU75"/>
    <mergeCell ref="HZX75:HZZ75"/>
    <mergeCell ref="IAB75:IAD75"/>
    <mergeCell ref="IAG75:IAI75"/>
    <mergeCell ref="IAK75:IAM75"/>
    <mergeCell ref="HXM75:HXO75"/>
    <mergeCell ref="HXQ75:HXS75"/>
    <mergeCell ref="HXV75:HXX75"/>
    <mergeCell ref="HXZ75:HYB75"/>
    <mergeCell ref="HYE75:HYG75"/>
    <mergeCell ref="HYI75:HYK75"/>
    <mergeCell ref="HYN75:HYP75"/>
    <mergeCell ref="HYR75:HYT75"/>
    <mergeCell ref="HYW75:HYY75"/>
    <mergeCell ref="HVX75:HVZ75"/>
    <mergeCell ref="HWC75:HWE75"/>
    <mergeCell ref="HWG75:HWI75"/>
    <mergeCell ref="HWL75:HWN75"/>
    <mergeCell ref="HWP75:HWR75"/>
    <mergeCell ref="HWU75:HWW75"/>
    <mergeCell ref="HWY75:HXA75"/>
    <mergeCell ref="HXD75:HXF75"/>
    <mergeCell ref="HXH75:HXJ75"/>
    <mergeCell ref="HUJ75:HUL75"/>
    <mergeCell ref="HUN75:HUP75"/>
    <mergeCell ref="HUS75:HUU75"/>
    <mergeCell ref="HUW75:HUY75"/>
    <mergeCell ref="HVB75:HVD75"/>
    <mergeCell ref="HVF75:HVH75"/>
    <mergeCell ref="HVK75:HVM75"/>
    <mergeCell ref="HVO75:HVQ75"/>
    <mergeCell ref="HVT75:HVV75"/>
    <mergeCell ref="HSU75:HSW75"/>
    <mergeCell ref="HSZ75:HTB75"/>
    <mergeCell ref="HTD75:HTF75"/>
    <mergeCell ref="HTI75:HTK75"/>
    <mergeCell ref="HTM75:HTO75"/>
    <mergeCell ref="HTR75:HTT75"/>
    <mergeCell ref="HTV75:HTX75"/>
    <mergeCell ref="HUA75:HUC75"/>
    <mergeCell ref="HUE75:HUG75"/>
    <mergeCell ref="HRG75:HRI75"/>
    <mergeCell ref="HRK75:HRM75"/>
    <mergeCell ref="HRP75:HRR75"/>
    <mergeCell ref="HRT75:HRV75"/>
    <mergeCell ref="HRY75:HSA75"/>
    <mergeCell ref="HSC75:HSE75"/>
    <mergeCell ref="HSH75:HSJ75"/>
    <mergeCell ref="HSL75:HSN75"/>
    <mergeCell ref="HSQ75:HSS75"/>
    <mergeCell ref="HPR75:HPT75"/>
    <mergeCell ref="HPW75:HPY75"/>
    <mergeCell ref="HQA75:HQC75"/>
    <mergeCell ref="HQF75:HQH75"/>
    <mergeCell ref="HQJ75:HQL75"/>
    <mergeCell ref="HQO75:HQQ75"/>
    <mergeCell ref="HQS75:HQU75"/>
    <mergeCell ref="HQX75:HQZ75"/>
    <mergeCell ref="HRB75:HRD75"/>
    <mergeCell ref="HOD75:HOF75"/>
    <mergeCell ref="HOH75:HOJ75"/>
    <mergeCell ref="HOM75:HOO75"/>
    <mergeCell ref="HOQ75:HOS75"/>
    <mergeCell ref="HOV75:HOX75"/>
    <mergeCell ref="HOZ75:HPB75"/>
    <mergeCell ref="HPE75:HPG75"/>
    <mergeCell ref="HPI75:HPK75"/>
    <mergeCell ref="HPN75:HPP75"/>
    <mergeCell ref="HMO75:HMQ75"/>
    <mergeCell ref="HMT75:HMV75"/>
    <mergeCell ref="HMX75:HMZ75"/>
    <mergeCell ref="HNC75:HNE75"/>
    <mergeCell ref="HNG75:HNI75"/>
    <mergeCell ref="HNL75:HNN75"/>
    <mergeCell ref="HNP75:HNR75"/>
    <mergeCell ref="HNU75:HNW75"/>
    <mergeCell ref="HNY75:HOA75"/>
    <mergeCell ref="HLA75:HLC75"/>
    <mergeCell ref="HLE75:HLG75"/>
    <mergeCell ref="HLJ75:HLL75"/>
    <mergeCell ref="HLN75:HLP75"/>
    <mergeCell ref="HLS75:HLU75"/>
    <mergeCell ref="HLW75:HLY75"/>
    <mergeCell ref="HMB75:HMD75"/>
    <mergeCell ref="HMF75:HMH75"/>
    <mergeCell ref="HMK75:HMM75"/>
    <mergeCell ref="HJL75:HJN75"/>
    <mergeCell ref="HJQ75:HJS75"/>
    <mergeCell ref="HJU75:HJW75"/>
    <mergeCell ref="HJZ75:HKB75"/>
    <mergeCell ref="HKD75:HKF75"/>
    <mergeCell ref="HKI75:HKK75"/>
    <mergeCell ref="HKM75:HKO75"/>
    <mergeCell ref="HKR75:HKT75"/>
    <mergeCell ref="HKV75:HKX75"/>
    <mergeCell ref="HHX75:HHZ75"/>
    <mergeCell ref="HIB75:HID75"/>
    <mergeCell ref="HIG75:HII75"/>
    <mergeCell ref="HIK75:HIM75"/>
    <mergeCell ref="HIP75:HIR75"/>
    <mergeCell ref="HIT75:HIV75"/>
    <mergeCell ref="HIY75:HJA75"/>
    <mergeCell ref="HJC75:HJE75"/>
    <mergeCell ref="HJH75:HJJ75"/>
    <mergeCell ref="HGI75:HGK75"/>
    <mergeCell ref="HGN75:HGP75"/>
    <mergeCell ref="HGR75:HGT75"/>
    <mergeCell ref="HGW75:HGY75"/>
    <mergeCell ref="HHA75:HHC75"/>
    <mergeCell ref="HHF75:HHH75"/>
    <mergeCell ref="HHJ75:HHL75"/>
    <mergeCell ref="HHO75:HHQ75"/>
    <mergeCell ref="HHS75:HHU75"/>
    <mergeCell ref="HEU75:HEW75"/>
    <mergeCell ref="HEY75:HFA75"/>
    <mergeCell ref="HFD75:HFF75"/>
    <mergeCell ref="HFH75:HFJ75"/>
    <mergeCell ref="HFM75:HFO75"/>
    <mergeCell ref="HFQ75:HFS75"/>
    <mergeCell ref="HFV75:HFX75"/>
    <mergeCell ref="HFZ75:HGB75"/>
    <mergeCell ref="HGE75:HGG75"/>
    <mergeCell ref="HDF75:HDH75"/>
    <mergeCell ref="HDK75:HDM75"/>
    <mergeCell ref="HDO75:HDQ75"/>
    <mergeCell ref="HDT75:HDV75"/>
    <mergeCell ref="HDX75:HDZ75"/>
    <mergeCell ref="HEC75:HEE75"/>
    <mergeCell ref="HEG75:HEI75"/>
    <mergeCell ref="HEL75:HEN75"/>
    <mergeCell ref="HEP75:HER75"/>
    <mergeCell ref="HBR75:HBT75"/>
    <mergeCell ref="HBV75:HBX75"/>
    <mergeCell ref="HCA75:HCC75"/>
    <mergeCell ref="HCE75:HCG75"/>
    <mergeCell ref="HCJ75:HCL75"/>
    <mergeCell ref="HCN75:HCP75"/>
    <mergeCell ref="HCS75:HCU75"/>
    <mergeCell ref="HCW75:HCY75"/>
    <mergeCell ref="HDB75:HDD75"/>
    <mergeCell ref="HAC75:HAE75"/>
    <mergeCell ref="HAH75:HAJ75"/>
    <mergeCell ref="HAL75:HAN75"/>
    <mergeCell ref="HAQ75:HAS75"/>
    <mergeCell ref="HAU75:HAW75"/>
    <mergeCell ref="HAZ75:HBB75"/>
    <mergeCell ref="HBD75:HBF75"/>
    <mergeCell ref="HBI75:HBK75"/>
    <mergeCell ref="HBM75:HBO75"/>
    <mergeCell ref="GYO75:GYQ75"/>
    <mergeCell ref="GYS75:GYU75"/>
    <mergeCell ref="GYX75:GYZ75"/>
    <mergeCell ref="GZB75:GZD75"/>
    <mergeCell ref="GZG75:GZI75"/>
    <mergeCell ref="GZK75:GZM75"/>
    <mergeCell ref="GZP75:GZR75"/>
    <mergeCell ref="GZT75:GZV75"/>
    <mergeCell ref="GZY75:HAA75"/>
    <mergeCell ref="GWZ75:GXB75"/>
    <mergeCell ref="GXE75:GXG75"/>
    <mergeCell ref="GXI75:GXK75"/>
    <mergeCell ref="GXN75:GXP75"/>
    <mergeCell ref="GXR75:GXT75"/>
    <mergeCell ref="GXW75:GXY75"/>
    <mergeCell ref="GYA75:GYC75"/>
    <mergeCell ref="GYF75:GYH75"/>
    <mergeCell ref="GYJ75:GYL75"/>
    <mergeCell ref="GVL75:GVN75"/>
    <mergeCell ref="GVP75:GVR75"/>
    <mergeCell ref="GVU75:GVW75"/>
    <mergeCell ref="GVY75:GWA75"/>
    <mergeCell ref="GWD75:GWF75"/>
    <mergeCell ref="GWH75:GWJ75"/>
    <mergeCell ref="GWM75:GWO75"/>
    <mergeCell ref="GWQ75:GWS75"/>
    <mergeCell ref="GWV75:GWX75"/>
    <mergeCell ref="GTW75:GTY75"/>
    <mergeCell ref="GUB75:GUD75"/>
    <mergeCell ref="GUF75:GUH75"/>
    <mergeCell ref="GUK75:GUM75"/>
    <mergeCell ref="GUO75:GUQ75"/>
    <mergeCell ref="GUT75:GUV75"/>
    <mergeCell ref="GUX75:GUZ75"/>
    <mergeCell ref="GVC75:GVE75"/>
    <mergeCell ref="GVG75:GVI75"/>
    <mergeCell ref="GSI75:GSK75"/>
    <mergeCell ref="GSM75:GSO75"/>
    <mergeCell ref="GSR75:GST75"/>
    <mergeCell ref="GSV75:GSX75"/>
    <mergeCell ref="GTA75:GTC75"/>
    <mergeCell ref="GTE75:GTG75"/>
    <mergeCell ref="GTJ75:GTL75"/>
    <mergeCell ref="GTN75:GTP75"/>
    <mergeCell ref="GTS75:GTU75"/>
    <mergeCell ref="GQT75:GQV75"/>
    <mergeCell ref="GQY75:GRA75"/>
    <mergeCell ref="GRC75:GRE75"/>
    <mergeCell ref="GRH75:GRJ75"/>
    <mergeCell ref="GRL75:GRN75"/>
    <mergeCell ref="GRQ75:GRS75"/>
    <mergeCell ref="GRU75:GRW75"/>
    <mergeCell ref="GRZ75:GSB75"/>
    <mergeCell ref="GSD75:GSF75"/>
    <mergeCell ref="GPF75:GPH75"/>
    <mergeCell ref="GPJ75:GPL75"/>
    <mergeCell ref="GPO75:GPQ75"/>
    <mergeCell ref="GPS75:GPU75"/>
    <mergeCell ref="GPX75:GPZ75"/>
    <mergeCell ref="GQB75:GQD75"/>
    <mergeCell ref="GQG75:GQI75"/>
    <mergeCell ref="GQK75:GQM75"/>
    <mergeCell ref="GQP75:GQR75"/>
    <mergeCell ref="GNQ75:GNS75"/>
    <mergeCell ref="GNV75:GNX75"/>
    <mergeCell ref="GNZ75:GOB75"/>
    <mergeCell ref="GOE75:GOG75"/>
    <mergeCell ref="GOI75:GOK75"/>
    <mergeCell ref="GON75:GOP75"/>
    <mergeCell ref="GOR75:GOT75"/>
    <mergeCell ref="GOW75:GOY75"/>
    <mergeCell ref="GPA75:GPC75"/>
    <mergeCell ref="GMC75:GME75"/>
    <mergeCell ref="GMG75:GMI75"/>
    <mergeCell ref="GML75:GMN75"/>
    <mergeCell ref="GMP75:GMR75"/>
    <mergeCell ref="GMU75:GMW75"/>
    <mergeCell ref="GMY75:GNA75"/>
    <mergeCell ref="GND75:GNF75"/>
    <mergeCell ref="GNH75:GNJ75"/>
    <mergeCell ref="GNM75:GNO75"/>
    <mergeCell ref="GKN75:GKP75"/>
    <mergeCell ref="GKS75:GKU75"/>
    <mergeCell ref="GKW75:GKY75"/>
    <mergeCell ref="GLB75:GLD75"/>
    <mergeCell ref="GLF75:GLH75"/>
    <mergeCell ref="GLK75:GLM75"/>
    <mergeCell ref="GLO75:GLQ75"/>
    <mergeCell ref="GLT75:GLV75"/>
    <mergeCell ref="GLX75:GLZ75"/>
    <mergeCell ref="GIZ75:GJB75"/>
    <mergeCell ref="GJD75:GJF75"/>
    <mergeCell ref="GJI75:GJK75"/>
    <mergeCell ref="GJM75:GJO75"/>
    <mergeCell ref="GJR75:GJT75"/>
    <mergeCell ref="GJV75:GJX75"/>
    <mergeCell ref="GKA75:GKC75"/>
    <mergeCell ref="GKE75:GKG75"/>
    <mergeCell ref="GKJ75:GKL75"/>
    <mergeCell ref="GHK75:GHM75"/>
    <mergeCell ref="GHP75:GHR75"/>
    <mergeCell ref="GHT75:GHV75"/>
    <mergeCell ref="GHY75:GIA75"/>
    <mergeCell ref="GIC75:GIE75"/>
    <mergeCell ref="GIH75:GIJ75"/>
    <mergeCell ref="GIL75:GIN75"/>
    <mergeCell ref="GIQ75:GIS75"/>
    <mergeCell ref="GIU75:GIW75"/>
    <mergeCell ref="GFW75:GFY75"/>
    <mergeCell ref="GGA75:GGC75"/>
    <mergeCell ref="GGF75:GGH75"/>
    <mergeCell ref="GGJ75:GGL75"/>
    <mergeCell ref="GGO75:GGQ75"/>
    <mergeCell ref="GGS75:GGU75"/>
    <mergeCell ref="GGX75:GGZ75"/>
    <mergeCell ref="GHB75:GHD75"/>
    <mergeCell ref="GHG75:GHI75"/>
    <mergeCell ref="GEH75:GEJ75"/>
    <mergeCell ref="GEM75:GEO75"/>
    <mergeCell ref="GEQ75:GES75"/>
    <mergeCell ref="GEV75:GEX75"/>
    <mergeCell ref="GEZ75:GFB75"/>
    <mergeCell ref="GFE75:GFG75"/>
    <mergeCell ref="GFI75:GFK75"/>
    <mergeCell ref="GFN75:GFP75"/>
    <mergeCell ref="GFR75:GFT75"/>
    <mergeCell ref="GCT75:GCV75"/>
    <mergeCell ref="GCX75:GCZ75"/>
    <mergeCell ref="GDC75:GDE75"/>
    <mergeCell ref="GDG75:GDI75"/>
    <mergeCell ref="GDL75:GDN75"/>
    <mergeCell ref="GDP75:GDR75"/>
    <mergeCell ref="GDU75:GDW75"/>
    <mergeCell ref="GDY75:GEA75"/>
    <mergeCell ref="GED75:GEF75"/>
    <mergeCell ref="GBE75:GBG75"/>
    <mergeCell ref="GBJ75:GBL75"/>
    <mergeCell ref="GBN75:GBP75"/>
    <mergeCell ref="GBS75:GBU75"/>
    <mergeCell ref="GBW75:GBY75"/>
    <mergeCell ref="GCB75:GCD75"/>
    <mergeCell ref="GCF75:GCH75"/>
    <mergeCell ref="GCK75:GCM75"/>
    <mergeCell ref="GCO75:GCQ75"/>
    <mergeCell ref="FZQ75:FZS75"/>
    <mergeCell ref="FZU75:FZW75"/>
    <mergeCell ref="FZZ75:GAB75"/>
    <mergeCell ref="GAD75:GAF75"/>
    <mergeCell ref="GAI75:GAK75"/>
    <mergeCell ref="GAM75:GAO75"/>
    <mergeCell ref="GAR75:GAT75"/>
    <mergeCell ref="GAV75:GAX75"/>
    <mergeCell ref="GBA75:GBC75"/>
    <mergeCell ref="FYB75:FYD75"/>
    <mergeCell ref="FYG75:FYI75"/>
    <mergeCell ref="FYK75:FYM75"/>
    <mergeCell ref="FYP75:FYR75"/>
    <mergeCell ref="FYT75:FYV75"/>
    <mergeCell ref="FYY75:FZA75"/>
    <mergeCell ref="FZC75:FZE75"/>
    <mergeCell ref="FZH75:FZJ75"/>
    <mergeCell ref="FZL75:FZN75"/>
    <mergeCell ref="FWN75:FWP75"/>
    <mergeCell ref="FWR75:FWT75"/>
    <mergeCell ref="FWW75:FWY75"/>
    <mergeCell ref="FXA75:FXC75"/>
    <mergeCell ref="FXF75:FXH75"/>
    <mergeCell ref="FXJ75:FXL75"/>
    <mergeCell ref="FXO75:FXQ75"/>
    <mergeCell ref="FXS75:FXU75"/>
    <mergeCell ref="FXX75:FXZ75"/>
    <mergeCell ref="FUY75:FVA75"/>
    <mergeCell ref="FVD75:FVF75"/>
    <mergeCell ref="FVH75:FVJ75"/>
    <mergeCell ref="FVM75:FVO75"/>
    <mergeCell ref="FVQ75:FVS75"/>
    <mergeCell ref="FVV75:FVX75"/>
    <mergeCell ref="FVZ75:FWB75"/>
    <mergeCell ref="FWE75:FWG75"/>
    <mergeCell ref="FWI75:FWK75"/>
    <mergeCell ref="FTK75:FTM75"/>
    <mergeCell ref="FTO75:FTQ75"/>
    <mergeCell ref="FTT75:FTV75"/>
    <mergeCell ref="FTX75:FTZ75"/>
    <mergeCell ref="FUC75:FUE75"/>
    <mergeCell ref="FUG75:FUI75"/>
    <mergeCell ref="FUL75:FUN75"/>
    <mergeCell ref="FUP75:FUR75"/>
    <mergeCell ref="FUU75:FUW75"/>
    <mergeCell ref="FRV75:FRX75"/>
    <mergeCell ref="FSA75:FSC75"/>
    <mergeCell ref="FSE75:FSG75"/>
    <mergeCell ref="FSJ75:FSL75"/>
    <mergeCell ref="FSN75:FSP75"/>
    <mergeCell ref="FSS75:FSU75"/>
    <mergeCell ref="FSW75:FSY75"/>
    <mergeCell ref="FTB75:FTD75"/>
    <mergeCell ref="FTF75:FTH75"/>
    <mergeCell ref="FQH75:FQJ75"/>
    <mergeCell ref="FQL75:FQN75"/>
    <mergeCell ref="FQQ75:FQS75"/>
    <mergeCell ref="FQU75:FQW75"/>
    <mergeCell ref="FQZ75:FRB75"/>
    <mergeCell ref="FRD75:FRF75"/>
    <mergeCell ref="FRI75:FRK75"/>
    <mergeCell ref="FRM75:FRO75"/>
    <mergeCell ref="FRR75:FRT75"/>
    <mergeCell ref="FOS75:FOU75"/>
    <mergeCell ref="FOX75:FOZ75"/>
    <mergeCell ref="FPB75:FPD75"/>
    <mergeCell ref="FPG75:FPI75"/>
    <mergeCell ref="FPK75:FPM75"/>
    <mergeCell ref="FPP75:FPR75"/>
    <mergeCell ref="FPT75:FPV75"/>
    <mergeCell ref="FPY75:FQA75"/>
    <mergeCell ref="FQC75:FQE75"/>
    <mergeCell ref="FNE75:FNG75"/>
    <mergeCell ref="FNI75:FNK75"/>
    <mergeCell ref="FNN75:FNP75"/>
    <mergeCell ref="FNR75:FNT75"/>
    <mergeCell ref="FNW75:FNY75"/>
    <mergeCell ref="FOA75:FOC75"/>
    <mergeCell ref="FOF75:FOH75"/>
    <mergeCell ref="FOJ75:FOL75"/>
    <mergeCell ref="FOO75:FOQ75"/>
    <mergeCell ref="FLP75:FLR75"/>
    <mergeCell ref="FLU75:FLW75"/>
    <mergeCell ref="FLY75:FMA75"/>
    <mergeCell ref="FMD75:FMF75"/>
    <mergeCell ref="FMH75:FMJ75"/>
    <mergeCell ref="FMM75:FMO75"/>
    <mergeCell ref="FMQ75:FMS75"/>
    <mergeCell ref="FMV75:FMX75"/>
    <mergeCell ref="FMZ75:FNB75"/>
    <mergeCell ref="FKB75:FKD75"/>
    <mergeCell ref="FKF75:FKH75"/>
    <mergeCell ref="FKK75:FKM75"/>
    <mergeCell ref="FKO75:FKQ75"/>
    <mergeCell ref="FKT75:FKV75"/>
    <mergeCell ref="FKX75:FKZ75"/>
    <mergeCell ref="FLC75:FLE75"/>
    <mergeCell ref="FLG75:FLI75"/>
    <mergeCell ref="FLL75:FLN75"/>
    <mergeCell ref="FIM75:FIO75"/>
    <mergeCell ref="FIR75:FIT75"/>
    <mergeCell ref="FIV75:FIX75"/>
    <mergeCell ref="FJA75:FJC75"/>
    <mergeCell ref="FJE75:FJG75"/>
    <mergeCell ref="FJJ75:FJL75"/>
    <mergeCell ref="FJN75:FJP75"/>
    <mergeCell ref="FJS75:FJU75"/>
    <mergeCell ref="FJW75:FJY75"/>
    <mergeCell ref="FGY75:FHA75"/>
    <mergeCell ref="FHC75:FHE75"/>
    <mergeCell ref="FHH75:FHJ75"/>
    <mergeCell ref="FHL75:FHN75"/>
    <mergeCell ref="FHQ75:FHS75"/>
    <mergeCell ref="FHU75:FHW75"/>
    <mergeCell ref="FHZ75:FIB75"/>
    <mergeCell ref="FID75:FIF75"/>
    <mergeCell ref="FII75:FIK75"/>
    <mergeCell ref="FFJ75:FFL75"/>
    <mergeCell ref="FFO75:FFQ75"/>
    <mergeCell ref="FFS75:FFU75"/>
    <mergeCell ref="FFX75:FFZ75"/>
    <mergeCell ref="FGB75:FGD75"/>
    <mergeCell ref="FGG75:FGI75"/>
    <mergeCell ref="FGK75:FGM75"/>
    <mergeCell ref="FGP75:FGR75"/>
    <mergeCell ref="FGT75:FGV75"/>
    <mergeCell ref="FDV75:FDX75"/>
    <mergeCell ref="FDZ75:FEB75"/>
    <mergeCell ref="FEE75:FEG75"/>
    <mergeCell ref="FEI75:FEK75"/>
    <mergeCell ref="FEN75:FEP75"/>
    <mergeCell ref="FER75:FET75"/>
    <mergeCell ref="FEW75:FEY75"/>
    <mergeCell ref="FFA75:FFC75"/>
    <mergeCell ref="FFF75:FFH75"/>
    <mergeCell ref="FCG75:FCI75"/>
    <mergeCell ref="FCL75:FCN75"/>
    <mergeCell ref="FCP75:FCR75"/>
    <mergeCell ref="FCU75:FCW75"/>
    <mergeCell ref="FCY75:FDA75"/>
    <mergeCell ref="FDD75:FDF75"/>
    <mergeCell ref="FDH75:FDJ75"/>
    <mergeCell ref="FDM75:FDO75"/>
    <mergeCell ref="FDQ75:FDS75"/>
    <mergeCell ref="FAS75:FAU75"/>
    <mergeCell ref="FAW75:FAY75"/>
    <mergeCell ref="FBB75:FBD75"/>
    <mergeCell ref="FBF75:FBH75"/>
    <mergeCell ref="FBK75:FBM75"/>
    <mergeCell ref="FBO75:FBQ75"/>
    <mergeCell ref="FBT75:FBV75"/>
    <mergeCell ref="FBX75:FBZ75"/>
    <mergeCell ref="FCC75:FCE75"/>
    <mergeCell ref="EZD75:EZF75"/>
    <mergeCell ref="EZI75:EZK75"/>
    <mergeCell ref="EZM75:EZO75"/>
    <mergeCell ref="EZR75:EZT75"/>
    <mergeCell ref="EZV75:EZX75"/>
    <mergeCell ref="FAA75:FAC75"/>
    <mergeCell ref="FAE75:FAG75"/>
    <mergeCell ref="FAJ75:FAL75"/>
    <mergeCell ref="FAN75:FAP75"/>
    <mergeCell ref="EXP75:EXR75"/>
    <mergeCell ref="EXT75:EXV75"/>
    <mergeCell ref="EXY75:EYA75"/>
    <mergeCell ref="EYC75:EYE75"/>
    <mergeCell ref="EYH75:EYJ75"/>
    <mergeCell ref="EYL75:EYN75"/>
    <mergeCell ref="EYQ75:EYS75"/>
    <mergeCell ref="EYU75:EYW75"/>
    <mergeCell ref="EYZ75:EZB75"/>
    <mergeCell ref="EWA75:EWC75"/>
    <mergeCell ref="EWF75:EWH75"/>
    <mergeCell ref="EWJ75:EWL75"/>
    <mergeCell ref="EWO75:EWQ75"/>
    <mergeCell ref="EWS75:EWU75"/>
    <mergeCell ref="EWX75:EWZ75"/>
    <mergeCell ref="EXB75:EXD75"/>
    <mergeCell ref="EXG75:EXI75"/>
    <mergeCell ref="EXK75:EXM75"/>
    <mergeCell ref="EUM75:EUO75"/>
    <mergeCell ref="EUQ75:EUS75"/>
    <mergeCell ref="EUV75:EUX75"/>
    <mergeCell ref="EUZ75:EVB75"/>
    <mergeCell ref="EVE75:EVG75"/>
    <mergeCell ref="EVI75:EVK75"/>
    <mergeCell ref="EVN75:EVP75"/>
    <mergeCell ref="EVR75:EVT75"/>
    <mergeCell ref="EVW75:EVY75"/>
    <mergeCell ref="ESX75:ESZ75"/>
    <mergeCell ref="ETC75:ETE75"/>
    <mergeCell ref="ETG75:ETI75"/>
    <mergeCell ref="ETL75:ETN75"/>
    <mergeCell ref="ETP75:ETR75"/>
    <mergeCell ref="ETU75:ETW75"/>
    <mergeCell ref="ETY75:EUA75"/>
    <mergeCell ref="EUD75:EUF75"/>
    <mergeCell ref="EUH75:EUJ75"/>
    <mergeCell ref="ERJ75:ERL75"/>
    <mergeCell ref="ERN75:ERP75"/>
    <mergeCell ref="ERS75:ERU75"/>
    <mergeCell ref="ERW75:ERY75"/>
    <mergeCell ref="ESB75:ESD75"/>
    <mergeCell ref="ESF75:ESH75"/>
    <mergeCell ref="ESK75:ESM75"/>
    <mergeCell ref="ESO75:ESQ75"/>
    <mergeCell ref="EST75:ESV75"/>
    <mergeCell ref="EPU75:EPW75"/>
    <mergeCell ref="EPZ75:EQB75"/>
    <mergeCell ref="EQD75:EQF75"/>
    <mergeCell ref="EQI75:EQK75"/>
    <mergeCell ref="EQM75:EQO75"/>
    <mergeCell ref="EQR75:EQT75"/>
    <mergeCell ref="EQV75:EQX75"/>
    <mergeCell ref="ERA75:ERC75"/>
    <mergeCell ref="ERE75:ERG75"/>
    <mergeCell ref="EOG75:EOI75"/>
    <mergeCell ref="EOK75:EOM75"/>
    <mergeCell ref="EOP75:EOR75"/>
    <mergeCell ref="EOT75:EOV75"/>
    <mergeCell ref="EOY75:EPA75"/>
    <mergeCell ref="EPC75:EPE75"/>
    <mergeCell ref="EPH75:EPJ75"/>
    <mergeCell ref="EPL75:EPN75"/>
    <mergeCell ref="EPQ75:EPS75"/>
    <mergeCell ref="EMR75:EMT75"/>
    <mergeCell ref="EMW75:EMY75"/>
    <mergeCell ref="ENA75:ENC75"/>
    <mergeCell ref="ENF75:ENH75"/>
    <mergeCell ref="ENJ75:ENL75"/>
    <mergeCell ref="ENO75:ENQ75"/>
    <mergeCell ref="ENS75:ENU75"/>
    <mergeCell ref="ENX75:ENZ75"/>
    <mergeCell ref="EOB75:EOD75"/>
    <mergeCell ref="ELD75:ELF75"/>
    <mergeCell ref="ELH75:ELJ75"/>
    <mergeCell ref="ELM75:ELO75"/>
    <mergeCell ref="ELQ75:ELS75"/>
    <mergeCell ref="ELV75:ELX75"/>
    <mergeCell ref="ELZ75:EMB75"/>
    <mergeCell ref="EME75:EMG75"/>
    <mergeCell ref="EMI75:EMK75"/>
    <mergeCell ref="EMN75:EMP75"/>
    <mergeCell ref="EJO75:EJQ75"/>
    <mergeCell ref="EJT75:EJV75"/>
    <mergeCell ref="EJX75:EJZ75"/>
    <mergeCell ref="EKC75:EKE75"/>
    <mergeCell ref="EKG75:EKI75"/>
    <mergeCell ref="EKL75:EKN75"/>
    <mergeCell ref="EKP75:EKR75"/>
    <mergeCell ref="EKU75:EKW75"/>
    <mergeCell ref="EKY75:ELA75"/>
    <mergeCell ref="EIA75:EIC75"/>
    <mergeCell ref="EIE75:EIG75"/>
    <mergeCell ref="EIJ75:EIL75"/>
    <mergeCell ref="EIN75:EIP75"/>
    <mergeCell ref="EIS75:EIU75"/>
    <mergeCell ref="EIW75:EIY75"/>
    <mergeCell ref="EJB75:EJD75"/>
    <mergeCell ref="EJF75:EJH75"/>
    <mergeCell ref="EJK75:EJM75"/>
    <mergeCell ref="EGL75:EGN75"/>
    <mergeCell ref="EGQ75:EGS75"/>
    <mergeCell ref="EGU75:EGW75"/>
    <mergeCell ref="EGZ75:EHB75"/>
    <mergeCell ref="EHD75:EHF75"/>
    <mergeCell ref="EHI75:EHK75"/>
    <mergeCell ref="EHM75:EHO75"/>
    <mergeCell ref="EHR75:EHT75"/>
    <mergeCell ref="EHV75:EHX75"/>
    <mergeCell ref="EEX75:EEZ75"/>
    <mergeCell ref="EFB75:EFD75"/>
    <mergeCell ref="EFG75:EFI75"/>
    <mergeCell ref="EFK75:EFM75"/>
    <mergeCell ref="EFP75:EFR75"/>
    <mergeCell ref="EFT75:EFV75"/>
    <mergeCell ref="EFY75:EGA75"/>
    <mergeCell ref="EGC75:EGE75"/>
    <mergeCell ref="EGH75:EGJ75"/>
    <mergeCell ref="EDI75:EDK75"/>
    <mergeCell ref="EDN75:EDP75"/>
    <mergeCell ref="EDR75:EDT75"/>
    <mergeCell ref="EDW75:EDY75"/>
    <mergeCell ref="EEA75:EEC75"/>
    <mergeCell ref="EEF75:EEH75"/>
    <mergeCell ref="EEJ75:EEL75"/>
    <mergeCell ref="EEO75:EEQ75"/>
    <mergeCell ref="EES75:EEU75"/>
    <mergeCell ref="EBU75:EBW75"/>
    <mergeCell ref="EBY75:ECA75"/>
    <mergeCell ref="ECD75:ECF75"/>
    <mergeCell ref="ECH75:ECJ75"/>
    <mergeCell ref="ECM75:ECO75"/>
    <mergeCell ref="ECQ75:ECS75"/>
    <mergeCell ref="ECV75:ECX75"/>
    <mergeCell ref="ECZ75:EDB75"/>
    <mergeCell ref="EDE75:EDG75"/>
    <mergeCell ref="EAF75:EAH75"/>
    <mergeCell ref="EAK75:EAM75"/>
    <mergeCell ref="EAO75:EAQ75"/>
    <mergeCell ref="EAT75:EAV75"/>
    <mergeCell ref="EAX75:EAZ75"/>
    <mergeCell ref="EBC75:EBE75"/>
    <mergeCell ref="EBG75:EBI75"/>
    <mergeCell ref="EBL75:EBN75"/>
    <mergeCell ref="EBP75:EBR75"/>
    <mergeCell ref="DYR75:DYT75"/>
    <mergeCell ref="DYV75:DYX75"/>
    <mergeCell ref="DZA75:DZC75"/>
    <mergeCell ref="DZE75:DZG75"/>
    <mergeCell ref="DZJ75:DZL75"/>
    <mergeCell ref="DZN75:DZP75"/>
    <mergeCell ref="DZS75:DZU75"/>
    <mergeCell ref="DZW75:DZY75"/>
    <mergeCell ref="EAB75:EAD75"/>
    <mergeCell ref="DXC75:DXE75"/>
    <mergeCell ref="DXH75:DXJ75"/>
    <mergeCell ref="DXL75:DXN75"/>
    <mergeCell ref="DXQ75:DXS75"/>
    <mergeCell ref="DXU75:DXW75"/>
    <mergeCell ref="DXZ75:DYB75"/>
    <mergeCell ref="DYD75:DYF75"/>
    <mergeCell ref="DYI75:DYK75"/>
    <mergeCell ref="DYM75:DYO75"/>
    <mergeCell ref="DVO75:DVQ75"/>
    <mergeCell ref="DVS75:DVU75"/>
    <mergeCell ref="DVX75:DVZ75"/>
    <mergeCell ref="DWB75:DWD75"/>
    <mergeCell ref="DWG75:DWI75"/>
    <mergeCell ref="DWK75:DWM75"/>
    <mergeCell ref="DWP75:DWR75"/>
    <mergeCell ref="DWT75:DWV75"/>
    <mergeCell ref="DWY75:DXA75"/>
    <mergeCell ref="DTZ75:DUB75"/>
    <mergeCell ref="DUE75:DUG75"/>
    <mergeCell ref="DUI75:DUK75"/>
    <mergeCell ref="DUN75:DUP75"/>
    <mergeCell ref="DUR75:DUT75"/>
    <mergeCell ref="DUW75:DUY75"/>
    <mergeCell ref="DVA75:DVC75"/>
    <mergeCell ref="DVF75:DVH75"/>
    <mergeCell ref="DVJ75:DVL75"/>
    <mergeCell ref="DSL75:DSN75"/>
    <mergeCell ref="DSP75:DSR75"/>
    <mergeCell ref="DSU75:DSW75"/>
    <mergeCell ref="DSY75:DTA75"/>
    <mergeCell ref="DTD75:DTF75"/>
    <mergeCell ref="DTH75:DTJ75"/>
    <mergeCell ref="DTM75:DTO75"/>
    <mergeCell ref="DTQ75:DTS75"/>
    <mergeCell ref="DTV75:DTX75"/>
    <mergeCell ref="DQW75:DQY75"/>
    <mergeCell ref="DRB75:DRD75"/>
    <mergeCell ref="DRF75:DRH75"/>
    <mergeCell ref="DRK75:DRM75"/>
    <mergeCell ref="DRO75:DRQ75"/>
    <mergeCell ref="DRT75:DRV75"/>
    <mergeCell ref="DRX75:DRZ75"/>
    <mergeCell ref="DSC75:DSE75"/>
    <mergeCell ref="DSG75:DSI75"/>
    <mergeCell ref="DPI75:DPK75"/>
    <mergeCell ref="DPM75:DPO75"/>
    <mergeCell ref="DPR75:DPT75"/>
    <mergeCell ref="DPV75:DPX75"/>
    <mergeCell ref="DQA75:DQC75"/>
    <mergeCell ref="DQE75:DQG75"/>
    <mergeCell ref="DQJ75:DQL75"/>
    <mergeCell ref="DQN75:DQP75"/>
    <mergeCell ref="DQS75:DQU75"/>
    <mergeCell ref="DNT75:DNV75"/>
    <mergeCell ref="DNY75:DOA75"/>
    <mergeCell ref="DOC75:DOE75"/>
    <mergeCell ref="DOH75:DOJ75"/>
    <mergeCell ref="DOL75:DON75"/>
    <mergeCell ref="DOQ75:DOS75"/>
    <mergeCell ref="DOU75:DOW75"/>
    <mergeCell ref="DOZ75:DPB75"/>
    <mergeCell ref="DPD75:DPF75"/>
    <mergeCell ref="DMF75:DMH75"/>
    <mergeCell ref="DMJ75:DML75"/>
    <mergeCell ref="DMO75:DMQ75"/>
    <mergeCell ref="DMS75:DMU75"/>
    <mergeCell ref="DMX75:DMZ75"/>
    <mergeCell ref="DNB75:DND75"/>
    <mergeCell ref="DNG75:DNI75"/>
    <mergeCell ref="DNK75:DNM75"/>
    <mergeCell ref="DNP75:DNR75"/>
    <mergeCell ref="DKQ75:DKS75"/>
    <mergeCell ref="DKV75:DKX75"/>
    <mergeCell ref="DKZ75:DLB75"/>
    <mergeCell ref="DLE75:DLG75"/>
    <mergeCell ref="DLI75:DLK75"/>
    <mergeCell ref="DLN75:DLP75"/>
    <mergeCell ref="DLR75:DLT75"/>
    <mergeCell ref="DLW75:DLY75"/>
    <mergeCell ref="DMA75:DMC75"/>
    <mergeCell ref="DJC75:DJE75"/>
    <mergeCell ref="DJG75:DJI75"/>
    <mergeCell ref="DJL75:DJN75"/>
    <mergeCell ref="DJP75:DJR75"/>
    <mergeCell ref="DJU75:DJW75"/>
    <mergeCell ref="DJY75:DKA75"/>
    <mergeCell ref="DKD75:DKF75"/>
    <mergeCell ref="DKH75:DKJ75"/>
    <mergeCell ref="DKM75:DKO75"/>
    <mergeCell ref="DHN75:DHP75"/>
    <mergeCell ref="DHS75:DHU75"/>
    <mergeCell ref="DHW75:DHY75"/>
    <mergeCell ref="DIB75:DID75"/>
    <mergeCell ref="DIF75:DIH75"/>
    <mergeCell ref="DIK75:DIM75"/>
    <mergeCell ref="DIO75:DIQ75"/>
    <mergeCell ref="DIT75:DIV75"/>
    <mergeCell ref="DIX75:DIZ75"/>
    <mergeCell ref="DFZ75:DGB75"/>
    <mergeCell ref="DGD75:DGF75"/>
    <mergeCell ref="DGI75:DGK75"/>
    <mergeCell ref="DGM75:DGO75"/>
    <mergeCell ref="DGR75:DGT75"/>
    <mergeCell ref="DGV75:DGX75"/>
    <mergeCell ref="DHA75:DHC75"/>
    <mergeCell ref="DHE75:DHG75"/>
    <mergeCell ref="DHJ75:DHL75"/>
    <mergeCell ref="DEK75:DEM75"/>
    <mergeCell ref="DEP75:DER75"/>
    <mergeCell ref="DET75:DEV75"/>
    <mergeCell ref="DEY75:DFA75"/>
    <mergeCell ref="DFC75:DFE75"/>
    <mergeCell ref="DFH75:DFJ75"/>
    <mergeCell ref="DFL75:DFN75"/>
    <mergeCell ref="DFQ75:DFS75"/>
    <mergeCell ref="DFU75:DFW75"/>
    <mergeCell ref="DCW75:DCY75"/>
    <mergeCell ref="DDA75:DDC75"/>
    <mergeCell ref="DDF75:DDH75"/>
    <mergeCell ref="DDJ75:DDL75"/>
    <mergeCell ref="DDO75:DDQ75"/>
    <mergeCell ref="DDS75:DDU75"/>
    <mergeCell ref="DDX75:DDZ75"/>
    <mergeCell ref="DEB75:DED75"/>
    <mergeCell ref="DEG75:DEI75"/>
    <mergeCell ref="DBH75:DBJ75"/>
    <mergeCell ref="DBM75:DBO75"/>
    <mergeCell ref="DBQ75:DBS75"/>
    <mergeCell ref="DBV75:DBX75"/>
    <mergeCell ref="DBZ75:DCB75"/>
    <mergeCell ref="DCE75:DCG75"/>
    <mergeCell ref="DCI75:DCK75"/>
    <mergeCell ref="DCN75:DCP75"/>
    <mergeCell ref="DCR75:DCT75"/>
    <mergeCell ref="CZT75:CZV75"/>
    <mergeCell ref="CZX75:CZZ75"/>
    <mergeCell ref="DAC75:DAE75"/>
    <mergeCell ref="DAG75:DAI75"/>
    <mergeCell ref="DAL75:DAN75"/>
    <mergeCell ref="DAP75:DAR75"/>
    <mergeCell ref="DAU75:DAW75"/>
    <mergeCell ref="DAY75:DBA75"/>
    <mergeCell ref="DBD75:DBF75"/>
    <mergeCell ref="CYE75:CYG75"/>
    <mergeCell ref="CYJ75:CYL75"/>
    <mergeCell ref="CYN75:CYP75"/>
    <mergeCell ref="CYS75:CYU75"/>
    <mergeCell ref="CYW75:CYY75"/>
    <mergeCell ref="CZB75:CZD75"/>
    <mergeCell ref="CZF75:CZH75"/>
    <mergeCell ref="CZK75:CZM75"/>
    <mergeCell ref="CZO75:CZQ75"/>
    <mergeCell ref="CWQ75:CWS75"/>
    <mergeCell ref="CWU75:CWW75"/>
    <mergeCell ref="CWZ75:CXB75"/>
    <mergeCell ref="CXD75:CXF75"/>
    <mergeCell ref="CXI75:CXK75"/>
    <mergeCell ref="CXM75:CXO75"/>
    <mergeCell ref="CXR75:CXT75"/>
    <mergeCell ref="CXV75:CXX75"/>
    <mergeCell ref="CYA75:CYC75"/>
    <mergeCell ref="CVB75:CVD75"/>
    <mergeCell ref="CVG75:CVI75"/>
    <mergeCell ref="CVK75:CVM75"/>
    <mergeCell ref="CVP75:CVR75"/>
    <mergeCell ref="CVT75:CVV75"/>
    <mergeCell ref="CVY75:CWA75"/>
    <mergeCell ref="CWC75:CWE75"/>
    <mergeCell ref="CWH75:CWJ75"/>
    <mergeCell ref="CWL75:CWN75"/>
    <mergeCell ref="CTN75:CTP75"/>
    <mergeCell ref="CTR75:CTT75"/>
    <mergeCell ref="CTW75:CTY75"/>
    <mergeCell ref="CUA75:CUC75"/>
    <mergeCell ref="CUF75:CUH75"/>
    <mergeCell ref="CUJ75:CUL75"/>
    <mergeCell ref="CUO75:CUQ75"/>
    <mergeCell ref="CUS75:CUU75"/>
    <mergeCell ref="CUX75:CUZ75"/>
    <mergeCell ref="CRY75:CSA75"/>
    <mergeCell ref="CSD75:CSF75"/>
    <mergeCell ref="CSH75:CSJ75"/>
    <mergeCell ref="CSM75:CSO75"/>
    <mergeCell ref="CSQ75:CSS75"/>
    <mergeCell ref="CSV75:CSX75"/>
    <mergeCell ref="CSZ75:CTB75"/>
    <mergeCell ref="CTE75:CTG75"/>
    <mergeCell ref="CTI75:CTK75"/>
    <mergeCell ref="CQK75:CQM75"/>
    <mergeCell ref="CQO75:CQQ75"/>
    <mergeCell ref="CQT75:CQV75"/>
    <mergeCell ref="CQX75:CQZ75"/>
    <mergeCell ref="CRC75:CRE75"/>
    <mergeCell ref="CRG75:CRI75"/>
    <mergeCell ref="CRL75:CRN75"/>
    <mergeCell ref="CRP75:CRR75"/>
    <mergeCell ref="CRU75:CRW75"/>
    <mergeCell ref="COV75:COX75"/>
    <mergeCell ref="CPA75:CPC75"/>
    <mergeCell ref="CPE75:CPG75"/>
    <mergeCell ref="CPJ75:CPL75"/>
    <mergeCell ref="CPN75:CPP75"/>
    <mergeCell ref="CPS75:CPU75"/>
    <mergeCell ref="CPW75:CPY75"/>
    <mergeCell ref="CQB75:CQD75"/>
    <mergeCell ref="CQF75:CQH75"/>
    <mergeCell ref="CNH75:CNJ75"/>
    <mergeCell ref="CNL75:CNN75"/>
    <mergeCell ref="CNQ75:CNS75"/>
    <mergeCell ref="CNU75:CNW75"/>
    <mergeCell ref="CNZ75:COB75"/>
    <mergeCell ref="COD75:COF75"/>
    <mergeCell ref="COI75:COK75"/>
    <mergeCell ref="COM75:COO75"/>
    <mergeCell ref="COR75:COT75"/>
    <mergeCell ref="CLS75:CLU75"/>
    <mergeCell ref="CLX75:CLZ75"/>
    <mergeCell ref="CMB75:CMD75"/>
    <mergeCell ref="CMG75:CMI75"/>
    <mergeCell ref="CMK75:CMM75"/>
    <mergeCell ref="CMP75:CMR75"/>
    <mergeCell ref="CMT75:CMV75"/>
    <mergeCell ref="CMY75:CNA75"/>
    <mergeCell ref="CNC75:CNE75"/>
    <mergeCell ref="CKE75:CKG75"/>
    <mergeCell ref="CKI75:CKK75"/>
    <mergeCell ref="CKN75:CKP75"/>
    <mergeCell ref="CKR75:CKT75"/>
    <mergeCell ref="CKW75:CKY75"/>
    <mergeCell ref="CLA75:CLC75"/>
    <mergeCell ref="CLF75:CLH75"/>
    <mergeCell ref="CLJ75:CLL75"/>
    <mergeCell ref="CLO75:CLQ75"/>
    <mergeCell ref="CIP75:CIR75"/>
    <mergeCell ref="CIU75:CIW75"/>
    <mergeCell ref="CIY75:CJA75"/>
    <mergeCell ref="CJD75:CJF75"/>
    <mergeCell ref="CJH75:CJJ75"/>
    <mergeCell ref="CJM75:CJO75"/>
    <mergeCell ref="CJQ75:CJS75"/>
    <mergeCell ref="CJV75:CJX75"/>
    <mergeCell ref="CJZ75:CKB75"/>
    <mergeCell ref="CHB75:CHD75"/>
    <mergeCell ref="CHF75:CHH75"/>
    <mergeCell ref="CHK75:CHM75"/>
    <mergeCell ref="CHO75:CHQ75"/>
    <mergeCell ref="CHT75:CHV75"/>
    <mergeCell ref="CHX75:CHZ75"/>
    <mergeCell ref="CIC75:CIE75"/>
    <mergeCell ref="CIG75:CII75"/>
    <mergeCell ref="CIL75:CIN75"/>
    <mergeCell ref="CFM75:CFO75"/>
    <mergeCell ref="CFR75:CFT75"/>
    <mergeCell ref="CFV75:CFX75"/>
    <mergeCell ref="CGA75:CGC75"/>
    <mergeCell ref="CGE75:CGG75"/>
    <mergeCell ref="CGJ75:CGL75"/>
    <mergeCell ref="CGN75:CGP75"/>
    <mergeCell ref="CGS75:CGU75"/>
    <mergeCell ref="CGW75:CGY75"/>
    <mergeCell ref="CDY75:CEA75"/>
    <mergeCell ref="CEC75:CEE75"/>
    <mergeCell ref="CEH75:CEJ75"/>
    <mergeCell ref="CEL75:CEN75"/>
    <mergeCell ref="CEQ75:CES75"/>
    <mergeCell ref="CEU75:CEW75"/>
    <mergeCell ref="CEZ75:CFB75"/>
    <mergeCell ref="CFD75:CFF75"/>
    <mergeCell ref="CFI75:CFK75"/>
    <mergeCell ref="CCJ75:CCL75"/>
    <mergeCell ref="CCO75:CCQ75"/>
    <mergeCell ref="CCS75:CCU75"/>
    <mergeCell ref="CCX75:CCZ75"/>
    <mergeCell ref="CDB75:CDD75"/>
    <mergeCell ref="CDG75:CDI75"/>
    <mergeCell ref="CDK75:CDM75"/>
    <mergeCell ref="CDP75:CDR75"/>
    <mergeCell ref="CDT75:CDV75"/>
    <mergeCell ref="CAV75:CAX75"/>
    <mergeCell ref="CAZ75:CBB75"/>
    <mergeCell ref="CBE75:CBG75"/>
    <mergeCell ref="CBI75:CBK75"/>
    <mergeCell ref="CBN75:CBP75"/>
    <mergeCell ref="CBR75:CBT75"/>
    <mergeCell ref="CBW75:CBY75"/>
    <mergeCell ref="CCA75:CCC75"/>
    <mergeCell ref="CCF75:CCH75"/>
    <mergeCell ref="BZG75:BZI75"/>
    <mergeCell ref="BZL75:BZN75"/>
    <mergeCell ref="BZP75:BZR75"/>
    <mergeCell ref="BZU75:BZW75"/>
    <mergeCell ref="BZY75:CAA75"/>
    <mergeCell ref="CAD75:CAF75"/>
    <mergeCell ref="CAH75:CAJ75"/>
    <mergeCell ref="CAM75:CAO75"/>
    <mergeCell ref="CAQ75:CAS75"/>
    <mergeCell ref="BXS75:BXU75"/>
    <mergeCell ref="BXW75:BXY75"/>
    <mergeCell ref="BYB75:BYD75"/>
    <mergeCell ref="BYF75:BYH75"/>
    <mergeCell ref="BYK75:BYM75"/>
    <mergeCell ref="BYO75:BYQ75"/>
    <mergeCell ref="BYT75:BYV75"/>
    <mergeCell ref="BYX75:BYZ75"/>
    <mergeCell ref="BZC75:BZE75"/>
    <mergeCell ref="BWD75:BWF75"/>
    <mergeCell ref="BWI75:BWK75"/>
    <mergeCell ref="BWM75:BWO75"/>
    <mergeCell ref="BWR75:BWT75"/>
    <mergeCell ref="BWV75:BWX75"/>
    <mergeCell ref="BXA75:BXC75"/>
    <mergeCell ref="BXE75:BXG75"/>
    <mergeCell ref="BXJ75:BXL75"/>
    <mergeCell ref="BXN75:BXP75"/>
    <mergeCell ref="BUP75:BUR75"/>
    <mergeCell ref="BUT75:BUV75"/>
    <mergeCell ref="BUY75:BVA75"/>
    <mergeCell ref="BVC75:BVE75"/>
    <mergeCell ref="BVH75:BVJ75"/>
    <mergeCell ref="BVL75:BVN75"/>
    <mergeCell ref="BVQ75:BVS75"/>
    <mergeCell ref="BVU75:BVW75"/>
    <mergeCell ref="BVZ75:BWB75"/>
    <mergeCell ref="BTA75:BTC75"/>
    <mergeCell ref="BTF75:BTH75"/>
    <mergeCell ref="BTJ75:BTL75"/>
    <mergeCell ref="BTO75:BTQ75"/>
    <mergeCell ref="BTS75:BTU75"/>
    <mergeCell ref="BTX75:BTZ75"/>
    <mergeCell ref="BUB75:BUD75"/>
    <mergeCell ref="BUG75:BUI75"/>
    <mergeCell ref="BUK75:BUM75"/>
    <mergeCell ref="BRM75:BRO75"/>
    <mergeCell ref="BRQ75:BRS75"/>
    <mergeCell ref="BRV75:BRX75"/>
    <mergeCell ref="BRZ75:BSB75"/>
    <mergeCell ref="BSE75:BSG75"/>
    <mergeCell ref="BSI75:BSK75"/>
    <mergeCell ref="BSN75:BSP75"/>
    <mergeCell ref="BSR75:BST75"/>
    <mergeCell ref="BSW75:BSY75"/>
    <mergeCell ref="BPX75:BPZ75"/>
    <mergeCell ref="BQC75:BQE75"/>
    <mergeCell ref="BQG75:BQI75"/>
    <mergeCell ref="BQL75:BQN75"/>
    <mergeCell ref="BQP75:BQR75"/>
    <mergeCell ref="BQU75:BQW75"/>
    <mergeCell ref="BQY75:BRA75"/>
    <mergeCell ref="BRD75:BRF75"/>
    <mergeCell ref="BRH75:BRJ75"/>
    <mergeCell ref="BOJ75:BOL75"/>
    <mergeCell ref="BON75:BOP75"/>
    <mergeCell ref="BOS75:BOU75"/>
    <mergeCell ref="BOW75:BOY75"/>
    <mergeCell ref="BPB75:BPD75"/>
    <mergeCell ref="BPF75:BPH75"/>
    <mergeCell ref="BPK75:BPM75"/>
    <mergeCell ref="BPO75:BPQ75"/>
    <mergeCell ref="BPT75:BPV75"/>
    <mergeCell ref="BMU75:BMW75"/>
    <mergeCell ref="BMZ75:BNB75"/>
    <mergeCell ref="BND75:BNF75"/>
    <mergeCell ref="BNI75:BNK75"/>
    <mergeCell ref="BNM75:BNO75"/>
    <mergeCell ref="BNR75:BNT75"/>
    <mergeCell ref="BNV75:BNX75"/>
    <mergeCell ref="BOA75:BOC75"/>
    <mergeCell ref="BOE75:BOG75"/>
    <mergeCell ref="BLG75:BLI75"/>
    <mergeCell ref="BLK75:BLM75"/>
    <mergeCell ref="BLP75:BLR75"/>
    <mergeCell ref="BLT75:BLV75"/>
    <mergeCell ref="BLY75:BMA75"/>
    <mergeCell ref="BMC75:BME75"/>
    <mergeCell ref="BMH75:BMJ75"/>
    <mergeCell ref="BML75:BMN75"/>
    <mergeCell ref="BMQ75:BMS75"/>
    <mergeCell ref="BJR75:BJT75"/>
    <mergeCell ref="BJW75:BJY75"/>
    <mergeCell ref="BKA75:BKC75"/>
    <mergeCell ref="BKF75:BKH75"/>
    <mergeCell ref="BKJ75:BKL75"/>
    <mergeCell ref="BKO75:BKQ75"/>
    <mergeCell ref="BKS75:BKU75"/>
    <mergeCell ref="BKX75:BKZ75"/>
    <mergeCell ref="BLB75:BLD75"/>
    <mergeCell ref="BID75:BIF75"/>
    <mergeCell ref="BIH75:BIJ75"/>
    <mergeCell ref="BIM75:BIO75"/>
    <mergeCell ref="BIQ75:BIS75"/>
    <mergeCell ref="BIV75:BIX75"/>
    <mergeCell ref="BIZ75:BJB75"/>
    <mergeCell ref="BJE75:BJG75"/>
    <mergeCell ref="BJI75:BJK75"/>
    <mergeCell ref="BJN75:BJP75"/>
    <mergeCell ref="BGO75:BGQ75"/>
    <mergeCell ref="BGT75:BGV75"/>
    <mergeCell ref="BGX75:BGZ75"/>
    <mergeCell ref="BHC75:BHE75"/>
    <mergeCell ref="BHG75:BHI75"/>
    <mergeCell ref="BHL75:BHN75"/>
    <mergeCell ref="BHP75:BHR75"/>
    <mergeCell ref="BHU75:BHW75"/>
    <mergeCell ref="BHY75:BIA75"/>
    <mergeCell ref="BFA75:BFC75"/>
    <mergeCell ref="BFE75:BFG75"/>
    <mergeCell ref="BFJ75:BFL75"/>
    <mergeCell ref="BFN75:BFP75"/>
    <mergeCell ref="BFS75:BFU75"/>
    <mergeCell ref="BFW75:BFY75"/>
    <mergeCell ref="BGB75:BGD75"/>
    <mergeCell ref="BGF75:BGH75"/>
    <mergeCell ref="BGK75:BGM75"/>
    <mergeCell ref="BDL75:BDN75"/>
    <mergeCell ref="BDQ75:BDS75"/>
    <mergeCell ref="BDU75:BDW75"/>
    <mergeCell ref="BDZ75:BEB75"/>
    <mergeCell ref="BED75:BEF75"/>
    <mergeCell ref="BEI75:BEK75"/>
    <mergeCell ref="BEM75:BEO75"/>
    <mergeCell ref="BER75:BET75"/>
    <mergeCell ref="BEV75:BEX75"/>
    <mergeCell ref="BBX75:BBZ75"/>
    <mergeCell ref="BCB75:BCD75"/>
    <mergeCell ref="BCG75:BCI75"/>
    <mergeCell ref="BCK75:BCM75"/>
    <mergeCell ref="BCP75:BCR75"/>
    <mergeCell ref="BCT75:BCV75"/>
    <mergeCell ref="BCY75:BDA75"/>
    <mergeCell ref="BDC75:BDE75"/>
    <mergeCell ref="BDH75:BDJ75"/>
    <mergeCell ref="BAI75:BAK75"/>
    <mergeCell ref="BAN75:BAP75"/>
    <mergeCell ref="BAR75:BAT75"/>
    <mergeCell ref="BAW75:BAY75"/>
    <mergeCell ref="BBA75:BBC75"/>
    <mergeCell ref="BBF75:BBH75"/>
    <mergeCell ref="BBJ75:BBL75"/>
    <mergeCell ref="BBO75:BBQ75"/>
    <mergeCell ref="BBS75:BBU75"/>
    <mergeCell ref="AYU75:AYW75"/>
    <mergeCell ref="AYY75:AZA75"/>
    <mergeCell ref="AZD75:AZF75"/>
    <mergeCell ref="AZH75:AZJ75"/>
    <mergeCell ref="AZM75:AZO75"/>
    <mergeCell ref="AZQ75:AZS75"/>
    <mergeCell ref="AZV75:AZX75"/>
    <mergeCell ref="AZZ75:BAB75"/>
    <mergeCell ref="BAE75:BAG75"/>
    <mergeCell ref="AXF75:AXH75"/>
    <mergeCell ref="AXK75:AXM75"/>
    <mergeCell ref="AXO75:AXQ75"/>
    <mergeCell ref="AXT75:AXV75"/>
    <mergeCell ref="AXX75:AXZ75"/>
    <mergeCell ref="AYC75:AYE75"/>
    <mergeCell ref="AYG75:AYI75"/>
    <mergeCell ref="AYL75:AYN75"/>
    <mergeCell ref="AYP75:AYR75"/>
    <mergeCell ref="AVR75:AVT75"/>
    <mergeCell ref="AVV75:AVX75"/>
    <mergeCell ref="AWA75:AWC75"/>
    <mergeCell ref="AWE75:AWG75"/>
    <mergeCell ref="AWJ75:AWL75"/>
    <mergeCell ref="AWN75:AWP75"/>
    <mergeCell ref="AWS75:AWU75"/>
    <mergeCell ref="AWW75:AWY75"/>
    <mergeCell ref="AXB75:AXD75"/>
    <mergeCell ref="AUC75:AUE75"/>
    <mergeCell ref="AUH75:AUJ75"/>
    <mergeCell ref="AUL75:AUN75"/>
    <mergeCell ref="AUQ75:AUS75"/>
    <mergeCell ref="AUU75:AUW75"/>
    <mergeCell ref="AUZ75:AVB75"/>
    <mergeCell ref="AVD75:AVF75"/>
    <mergeCell ref="AVI75:AVK75"/>
    <mergeCell ref="AVM75:AVO75"/>
    <mergeCell ref="ASO75:ASQ75"/>
    <mergeCell ref="ASS75:ASU75"/>
    <mergeCell ref="ASX75:ASZ75"/>
    <mergeCell ref="ATB75:ATD75"/>
    <mergeCell ref="ATG75:ATI75"/>
    <mergeCell ref="ATK75:ATM75"/>
    <mergeCell ref="ATP75:ATR75"/>
    <mergeCell ref="ATT75:ATV75"/>
    <mergeCell ref="ATY75:AUA75"/>
    <mergeCell ref="AQZ75:ARB75"/>
    <mergeCell ref="ARE75:ARG75"/>
    <mergeCell ref="ARI75:ARK75"/>
    <mergeCell ref="ARN75:ARP75"/>
    <mergeCell ref="ARR75:ART75"/>
    <mergeCell ref="ARW75:ARY75"/>
    <mergeCell ref="ASA75:ASC75"/>
    <mergeCell ref="ASF75:ASH75"/>
    <mergeCell ref="ASJ75:ASL75"/>
    <mergeCell ref="APL75:APN75"/>
    <mergeCell ref="APP75:APR75"/>
    <mergeCell ref="APU75:APW75"/>
    <mergeCell ref="APY75:AQA75"/>
    <mergeCell ref="AQD75:AQF75"/>
    <mergeCell ref="AQH75:AQJ75"/>
    <mergeCell ref="AQM75:AQO75"/>
    <mergeCell ref="AQQ75:AQS75"/>
    <mergeCell ref="AQV75:AQX75"/>
    <mergeCell ref="ANW75:ANY75"/>
    <mergeCell ref="AOB75:AOD75"/>
    <mergeCell ref="AOF75:AOH75"/>
    <mergeCell ref="AOK75:AOM75"/>
    <mergeCell ref="AOO75:AOQ75"/>
    <mergeCell ref="AOT75:AOV75"/>
    <mergeCell ref="AOX75:AOZ75"/>
    <mergeCell ref="APC75:APE75"/>
    <mergeCell ref="APG75:API75"/>
    <mergeCell ref="AMI75:AMK75"/>
    <mergeCell ref="AMM75:AMO75"/>
    <mergeCell ref="AMR75:AMT75"/>
    <mergeCell ref="AMV75:AMX75"/>
    <mergeCell ref="ANA75:ANC75"/>
    <mergeCell ref="ANE75:ANG75"/>
    <mergeCell ref="ANJ75:ANL75"/>
    <mergeCell ref="ANN75:ANP75"/>
    <mergeCell ref="ANS75:ANU75"/>
    <mergeCell ref="AKT75:AKV75"/>
    <mergeCell ref="AKY75:ALA75"/>
    <mergeCell ref="ALC75:ALE75"/>
    <mergeCell ref="ALH75:ALJ75"/>
    <mergeCell ref="ALL75:ALN75"/>
    <mergeCell ref="ALQ75:ALS75"/>
    <mergeCell ref="ALU75:ALW75"/>
    <mergeCell ref="ALZ75:AMB75"/>
    <mergeCell ref="AMD75:AMF75"/>
    <mergeCell ref="AJF75:AJH75"/>
    <mergeCell ref="AJJ75:AJL75"/>
    <mergeCell ref="AJO75:AJQ75"/>
    <mergeCell ref="AJS75:AJU75"/>
    <mergeCell ref="AJX75:AJZ75"/>
    <mergeCell ref="AKB75:AKD75"/>
    <mergeCell ref="AKG75:AKI75"/>
    <mergeCell ref="AKK75:AKM75"/>
    <mergeCell ref="AKP75:AKR75"/>
    <mergeCell ref="AHQ75:AHS75"/>
    <mergeCell ref="AHV75:AHX75"/>
    <mergeCell ref="AHZ75:AIB75"/>
    <mergeCell ref="AIE75:AIG75"/>
    <mergeCell ref="AII75:AIK75"/>
    <mergeCell ref="AIN75:AIP75"/>
    <mergeCell ref="AIR75:AIT75"/>
    <mergeCell ref="AIW75:AIY75"/>
    <mergeCell ref="AJA75:AJC75"/>
    <mergeCell ref="AGC75:AGE75"/>
    <mergeCell ref="AGG75:AGI75"/>
    <mergeCell ref="AGL75:AGN75"/>
    <mergeCell ref="AGP75:AGR75"/>
    <mergeCell ref="AGU75:AGW75"/>
    <mergeCell ref="AGY75:AHA75"/>
    <mergeCell ref="AHD75:AHF75"/>
    <mergeCell ref="AHH75:AHJ75"/>
    <mergeCell ref="AHM75:AHO75"/>
    <mergeCell ref="AEN75:AEP75"/>
    <mergeCell ref="AES75:AEU75"/>
    <mergeCell ref="AEW75:AEY75"/>
    <mergeCell ref="AFB75:AFD75"/>
    <mergeCell ref="AFF75:AFH75"/>
    <mergeCell ref="AFK75:AFM75"/>
    <mergeCell ref="AFO75:AFQ75"/>
    <mergeCell ref="AFT75:AFV75"/>
    <mergeCell ref="AFX75:AFZ75"/>
    <mergeCell ref="ACZ75:ADB75"/>
    <mergeCell ref="ADD75:ADF75"/>
    <mergeCell ref="ADI75:ADK75"/>
    <mergeCell ref="ADM75:ADO75"/>
    <mergeCell ref="ADR75:ADT75"/>
    <mergeCell ref="ADV75:ADX75"/>
    <mergeCell ref="AEA75:AEC75"/>
    <mergeCell ref="AEE75:AEG75"/>
    <mergeCell ref="AEJ75:AEL75"/>
    <mergeCell ref="ABK75:ABM75"/>
    <mergeCell ref="ABP75:ABR75"/>
    <mergeCell ref="ABT75:ABV75"/>
    <mergeCell ref="ABY75:ACA75"/>
    <mergeCell ref="ACC75:ACE75"/>
    <mergeCell ref="ACH75:ACJ75"/>
    <mergeCell ref="ACL75:ACN75"/>
    <mergeCell ref="ACQ75:ACS75"/>
    <mergeCell ref="ACU75:ACW75"/>
    <mergeCell ref="ZW75:ZY75"/>
    <mergeCell ref="AAA75:AAC75"/>
    <mergeCell ref="AAF75:AAH75"/>
    <mergeCell ref="AAJ75:AAL75"/>
    <mergeCell ref="AAO75:AAQ75"/>
    <mergeCell ref="AAS75:AAU75"/>
    <mergeCell ref="AAX75:AAZ75"/>
    <mergeCell ref="ABB75:ABD75"/>
    <mergeCell ref="ABG75:ABI75"/>
    <mergeCell ref="YH75:YJ75"/>
    <mergeCell ref="YM75:YO75"/>
    <mergeCell ref="YQ75:YS75"/>
    <mergeCell ref="YV75:YX75"/>
    <mergeCell ref="YZ75:ZB75"/>
    <mergeCell ref="ZE75:ZG75"/>
    <mergeCell ref="ZI75:ZK75"/>
    <mergeCell ref="ZN75:ZP75"/>
    <mergeCell ref="ZR75:ZT75"/>
    <mergeCell ref="WT75:WV75"/>
    <mergeCell ref="WX75:WZ75"/>
    <mergeCell ref="XC75:XE75"/>
    <mergeCell ref="XG75:XI75"/>
    <mergeCell ref="XL75:XN75"/>
    <mergeCell ref="XP75:XR75"/>
    <mergeCell ref="XU75:XW75"/>
    <mergeCell ref="XY75:YA75"/>
    <mergeCell ref="YD75:YF75"/>
    <mergeCell ref="VE75:VG75"/>
    <mergeCell ref="VJ75:VL75"/>
    <mergeCell ref="VN75:VP75"/>
    <mergeCell ref="VS75:VU75"/>
    <mergeCell ref="VW75:VY75"/>
    <mergeCell ref="WB75:WD75"/>
    <mergeCell ref="WF75:WH75"/>
    <mergeCell ref="WK75:WM75"/>
    <mergeCell ref="WO75:WQ75"/>
    <mergeCell ref="TQ75:TS75"/>
    <mergeCell ref="TU75:TW75"/>
    <mergeCell ref="TZ75:UB75"/>
    <mergeCell ref="UD75:UF75"/>
    <mergeCell ref="UI75:UK75"/>
    <mergeCell ref="UM75:UO75"/>
    <mergeCell ref="UR75:UT75"/>
    <mergeCell ref="UV75:UX75"/>
    <mergeCell ref="VA75:VC75"/>
    <mergeCell ref="SB75:SD75"/>
    <mergeCell ref="SG75:SI75"/>
    <mergeCell ref="SK75:SM75"/>
    <mergeCell ref="SP75:SR75"/>
    <mergeCell ref="ST75:SV75"/>
    <mergeCell ref="SY75:TA75"/>
    <mergeCell ref="TC75:TE75"/>
    <mergeCell ref="TH75:TJ75"/>
    <mergeCell ref="TL75:TN75"/>
    <mergeCell ref="QN75:QP75"/>
    <mergeCell ref="QR75:QT75"/>
    <mergeCell ref="QW75:QY75"/>
    <mergeCell ref="RA75:RC75"/>
    <mergeCell ref="RF75:RH75"/>
    <mergeCell ref="RJ75:RL75"/>
    <mergeCell ref="RO75:RQ75"/>
    <mergeCell ref="RS75:RU75"/>
    <mergeCell ref="RX75:RZ75"/>
    <mergeCell ref="OY75:PA75"/>
    <mergeCell ref="PD75:PF75"/>
    <mergeCell ref="PH75:PJ75"/>
    <mergeCell ref="PM75:PO75"/>
    <mergeCell ref="PQ75:PS75"/>
    <mergeCell ref="PV75:PX75"/>
    <mergeCell ref="PZ75:QB75"/>
    <mergeCell ref="QE75:QG75"/>
    <mergeCell ref="QI75:QK75"/>
    <mergeCell ref="NK75:NM75"/>
    <mergeCell ref="NO75:NQ75"/>
    <mergeCell ref="NT75:NV75"/>
    <mergeCell ref="NX75:NZ75"/>
    <mergeCell ref="OC75:OE75"/>
    <mergeCell ref="OG75:OI75"/>
    <mergeCell ref="OL75:ON75"/>
    <mergeCell ref="OP75:OR75"/>
    <mergeCell ref="OU75:OW75"/>
    <mergeCell ref="LV75:LX75"/>
    <mergeCell ref="MA75:MC75"/>
    <mergeCell ref="ME75:MG75"/>
    <mergeCell ref="MJ75:ML75"/>
    <mergeCell ref="MN75:MP75"/>
    <mergeCell ref="MS75:MU75"/>
    <mergeCell ref="MW75:MY75"/>
    <mergeCell ref="NB75:ND75"/>
    <mergeCell ref="NF75:NH75"/>
    <mergeCell ref="KH75:KJ75"/>
    <mergeCell ref="KL75:KN75"/>
    <mergeCell ref="KQ75:KS75"/>
    <mergeCell ref="KU75:KW75"/>
    <mergeCell ref="KZ75:LB75"/>
    <mergeCell ref="LD75:LF75"/>
    <mergeCell ref="LI75:LK75"/>
    <mergeCell ref="LM75:LO75"/>
    <mergeCell ref="LR75:LT75"/>
    <mergeCell ref="IS75:IU75"/>
    <mergeCell ref="IX75:IZ75"/>
    <mergeCell ref="JB75:JD75"/>
    <mergeCell ref="JG75:JI75"/>
    <mergeCell ref="JK75:JM75"/>
    <mergeCell ref="JP75:JR75"/>
    <mergeCell ref="JT75:JV75"/>
    <mergeCell ref="JY75:KA75"/>
    <mergeCell ref="KC75:KE75"/>
    <mergeCell ref="HE75:HG75"/>
    <mergeCell ref="HI75:HK75"/>
    <mergeCell ref="HN75:HP75"/>
    <mergeCell ref="HR75:HT75"/>
    <mergeCell ref="HW75:HY75"/>
    <mergeCell ref="IA75:IC75"/>
    <mergeCell ref="IF75:IH75"/>
    <mergeCell ref="IJ75:IL75"/>
    <mergeCell ref="IO75:IQ75"/>
    <mergeCell ref="FP75:FR75"/>
    <mergeCell ref="FU75:FW75"/>
    <mergeCell ref="FY75:GA75"/>
    <mergeCell ref="GD75:GF75"/>
    <mergeCell ref="GH75:GJ75"/>
    <mergeCell ref="GM75:GO75"/>
    <mergeCell ref="GQ75:GS75"/>
    <mergeCell ref="GV75:GX75"/>
    <mergeCell ref="GZ75:HB75"/>
    <mergeCell ref="EB75:ED75"/>
    <mergeCell ref="EF75:EH75"/>
    <mergeCell ref="EK75:EM75"/>
    <mergeCell ref="EO75:EQ75"/>
    <mergeCell ref="ET75:EV75"/>
    <mergeCell ref="EX75:EZ75"/>
    <mergeCell ref="FC75:FE75"/>
    <mergeCell ref="FG75:FI75"/>
    <mergeCell ref="FL75:FN75"/>
    <mergeCell ref="CM75:CO75"/>
    <mergeCell ref="CR75:CT75"/>
    <mergeCell ref="CV75:CX75"/>
    <mergeCell ref="DA75:DC75"/>
    <mergeCell ref="DE75:DG75"/>
    <mergeCell ref="DJ75:DL75"/>
    <mergeCell ref="DN75:DP75"/>
    <mergeCell ref="DS75:DU75"/>
    <mergeCell ref="DW75:DY75"/>
    <mergeCell ref="AY75:BA75"/>
    <mergeCell ref="BC75:BE75"/>
    <mergeCell ref="BH75:BJ75"/>
    <mergeCell ref="BL75:BN75"/>
    <mergeCell ref="BQ75:BS75"/>
    <mergeCell ref="BU75:BW75"/>
    <mergeCell ref="BZ75:CB75"/>
    <mergeCell ref="CD75:CF75"/>
    <mergeCell ref="CI75:CK75"/>
    <mergeCell ref="J75:L75"/>
    <mergeCell ref="O75:Q75"/>
    <mergeCell ref="S75:U75"/>
    <mergeCell ref="X75:Z75"/>
    <mergeCell ref="AB75:AD75"/>
    <mergeCell ref="AG75:AI75"/>
    <mergeCell ref="AK75:AM75"/>
    <mergeCell ref="AP75:AR75"/>
    <mergeCell ref="AT75:AV75"/>
    <mergeCell ref="A1:I2"/>
    <mergeCell ref="A6:C6"/>
    <mergeCell ref="A7:C7"/>
    <mergeCell ref="A5:C5"/>
    <mergeCell ref="F4:H4"/>
    <mergeCell ref="A3:E3"/>
    <mergeCell ref="A4:C4"/>
    <mergeCell ref="F7:H7"/>
    <mergeCell ref="F6:H6"/>
    <mergeCell ref="F5:H5"/>
    <mergeCell ref="F3:I3"/>
    <mergeCell ref="A12:C12"/>
    <mergeCell ref="F12:H12"/>
    <mergeCell ref="A13:C13"/>
    <mergeCell ref="F13:H13"/>
    <mergeCell ref="F11:H11"/>
    <mergeCell ref="A8:C8"/>
    <mergeCell ref="F8:H8"/>
    <mergeCell ref="A9:C9"/>
    <mergeCell ref="F9:H9"/>
    <mergeCell ref="A10:C10"/>
    <mergeCell ref="F10:H10"/>
    <mergeCell ref="A11:C11"/>
    <mergeCell ref="A19:C19"/>
    <mergeCell ref="F19:H19"/>
    <mergeCell ref="A20:C20"/>
    <mergeCell ref="F20:H20"/>
    <mergeCell ref="A17:C17"/>
    <mergeCell ref="F17:H17"/>
    <mergeCell ref="A18:C18"/>
    <mergeCell ref="F18:H18"/>
    <mergeCell ref="A14:C14"/>
    <mergeCell ref="F14:H14"/>
    <mergeCell ref="A15:C15"/>
    <mergeCell ref="F15:H15"/>
    <mergeCell ref="A16:C16"/>
    <mergeCell ref="F16:H16"/>
    <mergeCell ref="A25:C25"/>
    <mergeCell ref="F26:H26"/>
    <mergeCell ref="A26:C26"/>
    <mergeCell ref="F27:H27"/>
    <mergeCell ref="A23:C23"/>
    <mergeCell ref="F23:H23"/>
    <mergeCell ref="A24:C24"/>
    <mergeCell ref="F24:H24"/>
    <mergeCell ref="A21:C21"/>
    <mergeCell ref="F21:H21"/>
    <mergeCell ref="A22:C22"/>
    <mergeCell ref="F22:H22"/>
    <mergeCell ref="F25:H25"/>
    <mergeCell ref="A27:C27"/>
    <mergeCell ref="A32:C32"/>
    <mergeCell ref="F33:H33"/>
    <mergeCell ref="A33:C33"/>
    <mergeCell ref="F34:H34"/>
    <mergeCell ref="A30:C30"/>
    <mergeCell ref="F31:H31"/>
    <mergeCell ref="A31:C31"/>
    <mergeCell ref="F32:H32"/>
    <mergeCell ref="A28:C28"/>
    <mergeCell ref="F29:H29"/>
    <mergeCell ref="A29:C29"/>
    <mergeCell ref="F30:H30"/>
    <mergeCell ref="F28:H28"/>
    <mergeCell ref="A34:C34"/>
    <mergeCell ref="F35:H35"/>
    <mergeCell ref="A35:C35"/>
    <mergeCell ref="F36:H36"/>
    <mergeCell ref="A37:C37"/>
    <mergeCell ref="F38:H38"/>
    <mergeCell ref="A38:C38"/>
    <mergeCell ref="F39:H39"/>
    <mergeCell ref="A39:C39"/>
    <mergeCell ref="F58:H58"/>
    <mergeCell ref="F48:H48"/>
    <mergeCell ref="F49:H49"/>
    <mergeCell ref="F50:H50"/>
    <mergeCell ref="F51:H51"/>
    <mergeCell ref="A47:C47"/>
    <mergeCell ref="A48:C48"/>
    <mergeCell ref="A49:C49"/>
    <mergeCell ref="A50:C50"/>
    <mergeCell ref="A51:C51"/>
    <mergeCell ref="A45:C45"/>
    <mergeCell ref="F46:H46"/>
    <mergeCell ref="A46:C46"/>
    <mergeCell ref="F47:H47"/>
    <mergeCell ref="A43:C43"/>
    <mergeCell ref="F44:H44"/>
    <mergeCell ref="A44:C44"/>
    <mergeCell ref="F45:H45"/>
    <mergeCell ref="A36:C36"/>
    <mergeCell ref="F37:H37"/>
    <mergeCell ref="A42:C42"/>
    <mergeCell ref="F43:H43"/>
    <mergeCell ref="A40:C40"/>
    <mergeCell ref="F41:H41"/>
    <mergeCell ref="A76:C76"/>
    <mergeCell ref="F77:H77"/>
    <mergeCell ref="A58:C58"/>
    <mergeCell ref="F60:H60"/>
    <mergeCell ref="A74:C74"/>
    <mergeCell ref="F76:H76"/>
    <mergeCell ref="F69:H69"/>
    <mergeCell ref="A69:C69"/>
    <mergeCell ref="F70:H70"/>
    <mergeCell ref="A70:C70"/>
    <mergeCell ref="F72:H72"/>
    <mergeCell ref="A60:C60"/>
    <mergeCell ref="A68:C68"/>
    <mergeCell ref="F63:H63"/>
    <mergeCell ref="F64:H64"/>
    <mergeCell ref="F67:H67"/>
    <mergeCell ref="F68:H68"/>
    <mergeCell ref="F74:H74"/>
    <mergeCell ref="F59:H59"/>
    <mergeCell ref="A73:C73"/>
    <mergeCell ref="F73:H73"/>
    <mergeCell ref="A75:C75"/>
    <mergeCell ref="F75:H75"/>
    <mergeCell ref="A41:C41"/>
    <mergeCell ref="F42:H42"/>
    <mergeCell ref="F40:H40"/>
    <mergeCell ref="A65:C65"/>
    <mergeCell ref="F65:H65"/>
    <mergeCell ref="A66:C66"/>
    <mergeCell ref="A67:C67"/>
    <mergeCell ref="F66:H66"/>
    <mergeCell ref="A72:C72"/>
    <mergeCell ref="F71:H71"/>
    <mergeCell ref="A52:C52"/>
    <mergeCell ref="F52:H52"/>
    <mergeCell ref="A53:C53"/>
    <mergeCell ref="F53:H53"/>
    <mergeCell ref="A54:C54"/>
    <mergeCell ref="F54:H54"/>
    <mergeCell ref="A55:C55"/>
    <mergeCell ref="F55:H55"/>
    <mergeCell ref="A56:C56"/>
    <mergeCell ref="F56:H56"/>
    <mergeCell ref="F61:H61"/>
    <mergeCell ref="A57:C57"/>
    <mergeCell ref="A59:C59"/>
    <mergeCell ref="F62:H62"/>
    <mergeCell ref="F57:H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G17" sqref="G17"/>
    </sheetView>
  </sheetViews>
  <sheetFormatPr baseColWidth="10" defaultRowHeight="15" x14ac:dyDescent="0.25"/>
  <cols>
    <col min="4" max="4" width="14.140625" bestFit="1" customWidth="1"/>
    <col min="6" max="7" width="13.140625" bestFit="1" customWidth="1"/>
    <col min="11" max="11" width="13.140625" bestFit="1" customWidth="1"/>
    <col min="14" max="15" width="13" bestFit="1" customWidth="1"/>
  </cols>
  <sheetData>
    <row r="1" spans="1:16" ht="15.75" thickBot="1" x14ac:dyDescent="0.3">
      <c r="A1" s="93" t="s">
        <v>6</v>
      </c>
      <c r="B1" s="94"/>
      <c r="C1" s="94"/>
      <c r="D1" s="94"/>
      <c r="E1" s="94"/>
      <c r="F1" s="94"/>
      <c r="G1" s="94"/>
      <c r="H1" s="94"/>
    </row>
    <row r="2" spans="1:16" ht="15.75" thickBot="1" x14ac:dyDescent="0.3">
      <c r="A2" s="93"/>
      <c r="B2" s="95"/>
      <c r="C2" s="93" t="s">
        <v>8</v>
      </c>
      <c r="D2" s="95"/>
      <c r="E2" s="93"/>
      <c r="F2" s="95"/>
      <c r="G2" s="93" t="s">
        <v>0</v>
      </c>
      <c r="H2" s="95"/>
      <c r="K2" s="129" t="s">
        <v>18</v>
      </c>
      <c r="L2" s="130"/>
      <c r="M2" s="131"/>
      <c r="N2" s="44">
        <v>1029930</v>
      </c>
    </row>
    <row r="3" spans="1:16" ht="15.75" thickBot="1" x14ac:dyDescent="0.3">
      <c r="A3" s="22"/>
      <c r="B3" s="8"/>
      <c r="C3" s="22" t="s">
        <v>2</v>
      </c>
      <c r="D3" s="8" t="s">
        <v>12</v>
      </c>
      <c r="E3" s="23"/>
      <c r="F3" s="8"/>
      <c r="G3" s="93" t="s">
        <v>12</v>
      </c>
      <c r="H3" s="95"/>
    </row>
    <row r="4" spans="1:16" ht="15.75" thickBot="1" x14ac:dyDescent="0.3">
      <c r="A4" s="19"/>
      <c r="B4" s="21"/>
      <c r="C4" s="19">
        <f>SUM('VENTAS MAYORISTAS '!I52,'VENTAS MAYORISTAS '!D52,'VENTAS MAYORISTAS '!N52,'VENTAS MAYORISTAS '!S52)</f>
        <v>0</v>
      </c>
      <c r="D4" s="21">
        <f>SUM('VENTAS MAYORISTAS '!E52,'VENTAS MAYORISTAS '!J52,'VENTAS MAYORISTAS '!O52,'VENTAS MAYORISTAS '!T52)</f>
        <v>15512942</v>
      </c>
      <c r="E4" s="25"/>
      <c r="F4" s="24"/>
      <c r="G4" s="126">
        <f>GASTOS!I77</f>
        <v>12156241</v>
      </c>
      <c r="H4" s="127"/>
      <c r="N4" s="38"/>
    </row>
    <row r="5" spans="1:16" ht="15.75" thickBot="1" x14ac:dyDescent="0.3"/>
    <row r="6" spans="1:16" ht="15.75" thickBot="1" x14ac:dyDescent="0.3">
      <c r="K6" s="129" t="s">
        <v>20</v>
      </c>
      <c r="L6" s="130"/>
      <c r="M6" s="131"/>
      <c r="N6" s="20"/>
    </row>
    <row r="7" spans="1:16" ht="15.75" thickBot="1" x14ac:dyDescent="0.3">
      <c r="K7" s="2"/>
      <c r="L7" s="2" t="s">
        <v>15</v>
      </c>
      <c r="M7" s="2" t="s">
        <v>16</v>
      </c>
      <c r="N7" s="2" t="s">
        <v>17</v>
      </c>
      <c r="O7" s="43" t="s">
        <v>2</v>
      </c>
    </row>
    <row r="8" spans="1:16" ht="15.75" thickBot="1" x14ac:dyDescent="0.3">
      <c r="A8" s="129" t="s">
        <v>13</v>
      </c>
      <c r="B8" s="130"/>
      <c r="C8" s="131"/>
      <c r="D8" s="129" t="s">
        <v>19</v>
      </c>
      <c r="E8" s="130"/>
      <c r="F8" s="131"/>
      <c r="K8" s="38"/>
      <c r="L8" s="38"/>
      <c r="M8" s="38"/>
      <c r="N8" s="38"/>
      <c r="O8" s="44">
        <v>1386631</v>
      </c>
    </row>
    <row r="9" spans="1:16" ht="15.75" thickBot="1" x14ac:dyDescent="0.3">
      <c r="A9" s="132">
        <f>SUM(D4,F4)</f>
        <v>15512942</v>
      </c>
      <c r="B9" s="133"/>
      <c r="C9" s="134"/>
      <c r="D9" s="135">
        <f>(A9+N2)-G4</f>
        <v>4386631</v>
      </c>
      <c r="E9" s="136"/>
      <c r="F9" s="137"/>
    </row>
    <row r="10" spans="1:16" ht="15.75" thickBot="1" x14ac:dyDescent="0.3"/>
    <row r="11" spans="1:16" ht="15.75" thickBot="1" x14ac:dyDescent="0.3">
      <c r="K11" s="129" t="s">
        <v>14</v>
      </c>
      <c r="L11" s="130"/>
      <c r="M11" s="131"/>
      <c r="N11" s="20">
        <f>SUM(N12:N20)</f>
        <v>0</v>
      </c>
    </row>
    <row r="12" spans="1:16" ht="15.75" thickBot="1" x14ac:dyDescent="0.3">
      <c r="K12" s="59"/>
      <c r="L12" s="128"/>
      <c r="M12" s="60"/>
      <c r="N12" s="21"/>
    </row>
    <row r="13" spans="1:16" ht="15.75" thickBot="1" x14ac:dyDescent="0.3">
      <c r="G13" s="37"/>
      <c r="K13" s="59"/>
      <c r="L13" s="128"/>
      <c r="M13" s="60"/>
      <c r="N13" s="21"/>
    </row>
    <row r="14" spans="1:16" ht="15.75" thickBot="1" x14ac:dyDescent="0.3">
      <c r="D14" s="51"/>
      <c r="K14" s="59"/>
      <c r="L14" s="128"/>
      <c r="M14" s="60"/>
      <c r="N14" s="21"/>
    </row>
    <row r="15" spans="1:16" ht="15.75" thickBot="1" x14ac:dyDescent="0.3">
      <c r="K15" s="59"/>
      <c r="L15" s="128"/>
      <c r="M15" s="60"/>
      <c r="N15" s="21"/>
    </row>
    <row r="16" spans="1:16" ht="15.75" thickBot="1" x14ac:dyDescent="0.3">
      <c r="K16" s="59"/>
      <c r="L16" s="128"/>
      <c r="M16" s="60"/>
      <c r="N16" s="21"/>
      <c r="P16" t="s">
        <v>21</v>
      </c>
    </row>
    <row r="17" spans="5:14" ht="15.75" thickBot="1" x14ac:dyDescent="0.3">
      <c r="K17" s="59"/>
      <c r="L17" s="128"/>
      <c r="M17" s="60"/>
      <c r="N17" s="21"/>
    </row>
    <row r="18" spans="5:14" ht="15.75" thickBot="1" x14ac:dyDescent="0.3">
      <c r="E18" t="s">
        <v>21</v>
      </c>
      <c r="K18" s="59"/>
      <c r="L18" s="128"/>
      <c r="M18" s="60"/>
      <c r="N18" s="21"/>
    </row>
    <row r="19" spans="5:14" ht="15.75" thickBot="1" x14ac:dyDescent="0.3">
      <c r="K19" s="59"/>
      <c r="L19" s="128"/>
      <c r="M19" s="60"/>
      <c r="N19" s="21"/>
    </row>
    <row r="20" spans="5:14" ht="15.75" thickBot="1" x14ac:dyDescent="0.3">
      <c r="K20" s="59"/>
      <c r="L20" s="128"/>
      <c r="M20" s="60"/>
      <c r="N20" s="21"/>
    </row>
  </sheetData>
  <mergeCells count="23">
    <mergeCell ref="A8:C8"/>
    <mergeCell ref="D8:F8"/>
    <mergeCell ref="A9:C9"/>
    <mergeCell ref="D9:F9"/>
    <mergeCell ref="K16:M16"/>
    <mergeCell ref="K17:M17"/>
    <mergeCell ref="K18:M18"/>
    <mergeCell ref="K19:M19"/>
    <mergeCell ref="K20:M20"/>
    <mergeCell ref="K2:M2"/>
    <mergeCell ref="K6:M6"/>
    <mergeCell ref="K11:M11"/>
    <mergeCell ref="K12:M12"/>
    <mergeCell ref="K13:M13"/>
    <mergeCell ref="K14:M14"/>
    <mergeCell ref="K15:M15"/>
    <mergeCell ref="A1:H1"/>
    <mergeCell ref="G4:H4"/>
    <mergeCell ref="A2:B2"/>
    <mergeCell ref="C2:D2"/>
    <mergeCell ref="E2:F2"/>
    <mergeCell ref="G2:H2"/>
    <mergeCell ref="G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 MAYORISTAS </vt:lpstr>
      <vt:lpstr>GASTOS</vt:lpstr>
      <vt:lpstr>TOTALES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cuchetti diaz</dc:creator>
  <cp:lastModifiedBy>matias cuchetti diaz</cp:lastModifiedBy>
  <dcterms:created xsi:type="dcterms:W3CDTF">2020-10-03T22:22:36Z</dcterms:created>
  <dcterms:modified xsi:type="dcterms:W3CDTF">2026-06-02T20:03:47Z</dcterms:modified>
</cp:coreProperties>
</file>